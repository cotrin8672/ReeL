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6c5f3c3a3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おすすめ" sheetId="1" r:id="Rdeb2786961a04b13"/>
    <x:sheet xmlns:r="http://schemas.openxmlformats.org/officeDocument/2006/relationships" name="候補一覧" sheetId="2" r:id="Rb4c5b1759b9d418a"/>
    <x:sheet xmlns:r="http://schemas.openxmlformats.org/officeDocument/2006/relationships" name="評価基準" sheetId="3" r:id="R054afc82426c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@"/>
    <x:numFmt numFmtId="202" formatCode="#,##0"/>
    <x:numFmt numFmtId="203" formatCode="0.0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C2B33"/>
      <x:name val="Carlito"/>
    </x:font>
    <x:font>
      <x:b/>
      <x:sz val="20"/>
      <x:color rgb="FFFFFFFF"/>
      <x:name val="Carlito"/>
    </x:font>
    <x:font>
      <x:i/>
      <x:sz val="10"/>
      <x:color rgb="FF315B67"/>
      <x:name val="Carlito"/>
    </x:font>
    <x:font>
      <x:b/>
      <x:sz val="18"/>
      <x:color rgb="FF123B4A"/>
      <x:name val="Carlito"/>
    </x:font>
    <x:font>
      <x:b/>
      <x:sz val="12"/>
      <x:color rgb="FF123B4A"/>
      <x:name val="Carlito"/>
    </x:font>
    <x:font>
      <x:b/>
      <x:sz val="9"/>
      <x:color rgb="FF315B67"/>
      <x:name val="Carlito"/>
    </x:font>
    <x:font>
      <x:b/>
      <x:sz val="12"/>
      <x:color rgb="FFFFFFFF"/>
      <x:name val="Carlito"/>
    </x:font>
    <x:font>
      <x:b/>
      <x:sz val="9"/>
      <x:color rgb="FF7C2D12"/>
      <x:name val="Carlito"/>
    </x:font>
    <x:font>
      <x:sz val="10"/>
      <x:color rgb="FF7C2D12"/>
      <x:name val="Carlito"/>
    </x:font>
    <x:font>
      <x:b/>
      <x:sz val="11"/>
      <x:color rgb="FF315B6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2F5"/>
      </x:patternFill>
    </x:fill>
    <x:fill>
      <x:patternFill patternType="solid">
        <x:fgColor rgb="FFF3F8FA"/>
      </x:patternFill>
    </x:fill>
    <x:fill>
      <x:patternFill patternType="solid">
        <x:fgColor rgb="FFD7E8ED"/>
      </x:patternFill>
    </x:fill>
    <x:fill>
      <x:patternFill patternType="solid">
        <x:fgColor rgb="FFD97706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</x:fills>
  <x:borders count="21">
    <x:border/>
    <x:border>
      <x:right style="thin">
        <x:color rgb="FFD6E2E8"/>
      </x:right>
      <x:bottom style="thin">
        <x:color rgb="FFD6E2E8"/>
      </x:bottom>
    </x:border>
    <x:border>
      <x:left style="thin">
        <x:color rgb="FFD6E2E8"/>
      </x:left>
      <x:bottom style="thin">
        <x:color rgb="FFD6E2E8"/>
      </x:bottom>
    </x:border>
    <x:border>
      <x:right style="thin">
        <x:color rgb="FFD6E2E8"/>
      </x:right>
      <x:top style="thin">
        <x:color rgb="FFD6E2E8"/>
      </x:top>
      <x:bottom style="thin">
        <x:color rgb="FFD6E2E8"/>
      </x:bottom>
    </x:border>
    <x:border>
      <x:left style="thin">
        <x:color rgb="FFD6E2E8"/>
      </x:left>
      <x:top style="thin">
        <x:color rgb="FFD6E2E8"/>
      </x:top>
      <x:bottom style="thin">
        <x:color rgb="FFD6E2E8"/>
      </x:bottom>
    </x:border>
    <x:border>
      <x:right style="thin">
        <x:color rgb="FFD6E2E8"/>
      </x:right>
      <x:top style="thin">
        <x:color rgb="FFD6E2E8"/>
      </x:top>
    </x:border>
    <x:border>
      <x:left style="thin">
        <x:color rgb="FFD6E2E8"/>
      </x:left>
      <x:top style="thin">
        <x:color rgb="FFD6E2E8"/>
      </x:top>
    </x:border>
    <x:border>
      <x:left style="thin">
        <x:color rgb="FFB7CDD5"/>
      </x:left>
      <x:top style="thin">
        <x:color rgb="FFB7CDD5"/>
      </x:top>
    </x:border>
    <x:border>
      <x:right style="thin">
        <x:color rgb="FFB7CDD5"/>
      </x:right>
      <x:top style="thin">
        <x:color rgb="FFB7CDD5"/>
      </x:top>
    </x:border>
    <x:border>
      <x:left style="thin">
        <x:color rgb="FFB7CDD5"/>
      </x:left>
    </x:border>
    <x:border>
      <x:right style="thin">
        <x:color rgb="FFB7CDD5"/>
      </x:right>
    </x:border>
    <x:border>
      <x:left style="thin">
        <x:color rgb="FFB7CDD5"/>
      </x:left>
      <x:bottom style="thin">
        <x:color rgb="FFB7CDD5"/>
      </x:bottom>
    </x:border>
    <x:border>
      <x:right style="thin">
        <x:color rgb="FFB7CDD5"/>
      </x:right>
      <x:bottom style="thin">
        <x:color rgb="FFB7CDD5"/>
      </x:bottom>
    </x:border>
    <x:border>
      <x:top style="thin">
        <x:color rgb="FFB7CDD5"/>
      </x:top>
    </x:border>
    <x:border>
      <x:bottom style="thin">
        <x:color rgb="FFB7CDD5"/>
      </x:bottom>
    </x:border>
    <x:border>
      <x:bottom style="thin">
        <x:color rgb="FFD7E4E8"/>
      </x:bottom>
    </x:border>
    <x:border>
      <x:top style="thin">
        <x:color rgb="FFD7E4E8"/>
      </x:top>
      <x:bottom style="thin">
        <x:color rgb="FFD7E4E8"/>
      </x:bottom>
    </x:border>
    <x:border>
      <x:top style="thin">
        <x:color rgb="FFD7E4E8"/>
      </x:top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horizontal="right" vertical="top"/>
    </x:xf>
    <x:xf numFmtId="202" fontId="3" fillId="0" borderId="0" xfId="0" applyNumberFormat="1" applyFont="1" applyFill="1" applyBorder="1" applyAlignment="1">
      <x:alignment horizontal="right" vertical="top"/>
    </x:xf>
    <x:xf numFmtId="203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wrapText="1"/>
    </x:xf>
    <x:xf numFmtId="0" fontId="6" fillId="4" borderId="10" xfId="0" applyNumberFormat="1" applyFont="1" applyFill="1" applyBorder="1" applyAlignment="1">
      <x:alignment horizontal="center" wrapText="1"/>
    </x:xf>
    <x:xf numFmtId="0" fontId="6" fillId="4" borderId="11" xfId="0" applyNumberFormat="1" applyFont="1" applyFill="1" applyBorder="1" applyAlignment="1">
      <x:alignment horizontal="center" wrapText="1"/>
    </x:xf>
    <x:xf numFmtId="0" fontId="6" fillId="4" borderId="12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13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4" xfId="0" applyNumberFormat="1" applyFont="1" applyFill="1" applyBorder="1"/>
    <x:xf numFmtId="0" fontId="7" fillId="4" borderId="12" xfId="0" applyNumberFormat="1" applyFont="1" applyFill="1" applyBorder="1"/>
    <x:xf numFmtId="0" fontId="7" fillId="4" borderId="7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horizontal="center" wrapText="1"/>
    </x:xf>
    <x:xf numFmtId="0" fontId="7" fillId="4" borderId="13" xfId="0" applyNumberFormat="1" applyFont="1" applyFill="1" applyBorder="1" applyAlignment="1">
      <x:alignment horizontal="center" wrapText="1"/>
    </x:xf>
    <x:xf numFmtId="0" fontId="7" fillId="4" borderId="8" xfId="0" applyNumberFormat="1" applyFont="1" applyFill="1" applyBorder="1" applyAlignment="1">
      <x:alignment horizontal="center" wrapText="1"/>
    </x:xf>
    <x:xf numFmtId="0" fontId="7" fillId="4" borderId="9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14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4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3" fillId="0" borderId="15" xfId="0" applyNumberFormat="1" applyFont="1" applyFill="1" applyBorder="1"/>
    <x:xf numFmtId="201" fontId="3" fillId="0" borderId="15" xfId="0" applyNumberFormat="1" applyFont="1" applyFill="1" applyBorder="1"/>
    <x:xf numFmtId="0" fontId="3" fillId="0" borderId="16" xfId="0" applyNumberFormat="1" applyFont="1" applyFill="1" applyBorder="1"/>
    <x:xf numFmtId="201" fontId="3" fillId="0" borderId="16" xfId="0" applyNumberFormat="1" applyFont="1" applyFill="1" applyBorder="1"/>
    <x:xf numFmtId="0" fontId="3" fillId="0" borderId="17" xfId="0" applyNumberFormat="1" applyFont="1" applyFill="1" applyBorder="1"/>
    <x:xf numFmtId="201" fontId="3" fillId="0" borderId="17" xfId="0" applyNumberFormat="1" applyFont="1" applyFill="1" applyBorder="1"/>
    <x:xf numFmtId="0" fontId="3" fillId="0" borderId="15" xfId="0" applyNumberFormat="1" applyFont="1" applyFill="1" applyBorder="1" applyAlignment="1">
      <x:alignment wrapText="1"/>
    </x:xf>
    <x:xf numFmtId="201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201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201" fontId="3" fillId="0" borderId="17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vertical="top" wrapText="1"/>
    </x:xf>
    <x:xf numFmtId="201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201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201" fontId="3" fillId="0" borderId="17" xfId="0" applyNumberFormat="1" applyFont="1" applyFill="1" applyBorder="1" applyAlignment="1">
      <x:alignment vertical="top" wrapText="1"/>
    </x:xf>
    <x:xf numFmtId="200" fontId="3" fillId="0" borderId="15" xfId="0" applyNumberFormat="1" applyFont="1" applyFill="1" applyBorder="1" applyAlignment="1">
      <x:alignment vertical="top" wrapText="1"/>
    </x:xf>
    <x:xf numFmtId="200" fontId="3" fillId="0" borderId="16" xfId="0" applyNumberFormat="1" applyFont="1" applyFill="1" applyBorder="1" applyAlignment="1">
      <x:alignment vertical="top" wrapText="1"/>
    </x:xf>
    <x:xf numFmtId="200" fontId="3" fillId="0" borderId="17" xfId="0" applyNumberFormat="1" applyFont="1" applyFill="1" applyBorder="1" applyAlignment="1">
      <x:alignment vertical="top" wrapText="1"/>
    </x:xf>
    <x:xf numFmtId="202" fontId="3" fillId="0" borderId="15" xfId="0" applyNumberFormat="1" applyFont="1" applyFill="1" applyBorder="1" applyAlignment="1">
      <x:alignment vertical="top" wrapText="1"/>
    </x:xf>
    <x:xf numFmtId="202" fontId="3" fillId="0" borderId="16" xfId="0" applyNumberFormat="1" applyFont="1" applyFill="1" applyBorder="1" applyAlignment="1">
      <x:alignment vertical="top" wrapText="1"/>
    </x:xf>
    <x:xf numFmtId="202" fontId="3" fillId="0" borderId="1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8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18" xfId="0" applyNumberFormat="1" applyFont="1" applyFill="1" applyBorder="1" applyAlignment="1">
      <x:alignment wrapText="1"/>
    </x:xf>
    <x:xf numFmtId="0" fontId="11" fillId="8" borderId="19" xfId="0" applyNumberFormat="1" applyFont="1" applyFill="1" applyBorder="1" applyAlignment="1">
      <x:alignment wrapText="1"/>
    </x:xf>
    <x:xf numFmtId="0" fontId="11" fillId="8" borderId="2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201" fontId="3" fillId="0" borderId="15" xfId="0" applyNumberFormat="1" applyFont="1" applyFill="1" applyBorder="1" applyAlignment="1">
      <x:alignment vertical="center" wrapText="1"/>
    </x:xf>
    <x:xf numFmtId="200" fontId="3" fillId="0" borderId="15" xfId="0" applyNumberFormat="1" applyFont="1" applyFill="1" applyBorder="1" applyAlignment="1">
      <x:alignment vertical="center" wrapText="1"/>
    </x:xf>
    <x:xf numFmtId="202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201" fontId="3" fillId="0" borderId="16" xfId="0" applyNumberFormat="1" applyFont="1" applyFill="1" applyBorder="1" applyAlignment="1">
      <x:alignment vertical="center" wrapText="1"/>
    </x:xf>
    <x:xf numFmtId="200" fontId="3" fillId="0" borderId="16" xfId="0" applyNumberFormat="1" applyFont="1" applyFill="1" applyBorder="1" applyAlignment="1">
      <x:alignment vertical="center" wrapText="1"/>
    </x:xf>
    <x:xf numFmtId="202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201" fontId="3" fillId="0" borderId="17" xfId="0" applyNumberFormat="1" applyFont="1" applyFill="1" applyBorder="1" applyAlignment="1">
      <x:alignment vertical="center" wrapText="1"/>
    </x:xf>
    <x:xf numFmtId="200" fontId="3" fillId="0" borderId="17" xfId="0" applyNumberFormat="1" applyFont="1" applyFill="1" applyBorder="1" applyAlignment="1">
      <x:alignment vertical="center" wrapText="1"/>
    </x:xf>
    <x:xf numFmtId="202" fontId="3" fillId="0" borderId="17" xfId="0" applyNumberFormat="1" applyFont="1" applyFill="1" applyBorder="1" applyAlignment="1">
      <x:alignment vertical="center" wrapText="1"/>
    </x:xf>
    <x:xf numFmtId="0" fontId="11" fillId="8" borderId="18" xfId="0" applyNumberFormat="1" applyFont="1" applyFill="1" applyBorder="1" applyAlignment="1">
      <x:alignment vertical="center" wrapText="1"/>
    </x:xf>
    <x:xf numFmtId="0" fontId="11" fillId="8" borderId="19" xfId="0" applyNumberFormat="1" applyFont="1" applyFill="1" applyBorder="1" applyAlignment="1">
      <x:alignment vertical="center" wrapText="1"/>
    </x:xf>
    <x:xf numFmtId="0" fontId="11" fillId="8" borderId="2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1e112e56340cc" /><Relationship Type="http://schemas.openxmlformats.org/officeDocument/2006/relationships/theme" Target="/xl/theme/theme1.xml" Id="R3b244ec6ab064688" /><Relationship Type="http://schemas.openxmlformats.org/officeDocument/2006/relationships/sharedStrings" Target="/xl/sharedStrings.xml" Id="R336a8a756f0144f3" /><Relationship Type="http://schemas.openxmlformats.org/officeDocument/2006/relationships/worksheet" Target="/xl/worksheets/sheet1.xml" Id="Rdeb2786961a04b13" /><Relationship Type="http://schemas.openxmlformats.org/officeDocument/2006/relationships/worksheet" Target="/xl/worksheets/sheet2.xml" Id="Rb4c5b1759b9d418a" /><Relationship Type="http://schemas.openxmlformats.org/officeDocument/2006/relationships/worksheet" Target="/xl/worksheets/sheet3.xml" Id="R054afc82426c4a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90553b0489840d3" /><Relationship Type="http://schemas.openxmlformats.org/officeDocument/2006/relationships/image" Target="/xl/media/image2.png" Id="Rfb1cff7c99ad4ff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25</xdr:row>
      <xdr:rowOff>0</xdr:rowOff>
    </xdr:from>
    <xdr:ext cx="3333750" cy="2476500"/>
    <xdr:pic>
      <xdr:nvPicPr>
        <xdr:cNvPr id="1" name="575d7106-f7f2-488c-83f9-53980612ed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0553b0489840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25</xdr:row>
      <xdr:rowOff>0</xdr:rowOff>
    </xdr:from>
    <xdr:ext cx="3333750" cy="2476500"/>
    <xdr:pic>
      <xdr:nvPicPr>
        <xdr:cNvPr id="2" name="2e4a29de-cee1-446f-b918-6fbef09da6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1cff7c99ad4f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idePushCandidates" displayName="SidePushCandidates" ref="A1:W75" headerRowCount="1" totalsRowCount="0" totalsRowShown="0">
  <x:autoFilter ref="A1:W75"/>
  <x:tableColumns count="23">
    <x:tableColumn id="1" name="メーカー"/>
    <x:tableColumn id="2" name="シリーズ"/>
    <x:tableColumn id="3" name="型番"/>
    <x:tableColumn id="4" name="供給状態"/>
    <x:tableColumn id="5" name="実装／機構"/>
    <x:tableColumn id="6" name="L (mm)"/>
    <x:tableColumn id="7" name="W (mm)"/>
    <x:tableColumn id="8" name="H (mm)"/>
    <x:tableColumn id="9" name="実装面積 (mm²)"/>
    <x:tableColumn id="10" name="押下圧 (N)"/>
    <x:tableColumn id="11" name="押下圧 (gf)"/>
    <x:tableColumn id="12" name="ストローク (mm)"/>
    <x:tableColumn id="13" name="寿命 (回)"/>
    <x:tableColumn id="14" name="保護"/>
    <x:tableColumn id="15" name="端子／ボス等"/>
    <x:tableColumn id="16" name="サイズ区分"/>
    <x:tableColumn id="17" name="押下圧評価"/>
    <x:tableColumn id="18" name="比較スコア"/>
    <x:tableColumn id="19" name="メーカー仕様URL"/>
    <x:tableColumn id="20" name="購入・検索URL"/>
    <x:tableColumn id="21" name="選定メモ"/>
    <x:tableColumn id="22" name="根拠レベル"/>
    <x:tableColumn id="23" name="ミッド／エッジ適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2ca5e54aee4a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b8a37c48b445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22" hidden="0" customWidth="1"/>
    <x:col min="5" max="5" width="12" hidden="0" customWidth="1"/>
    <x:col min="6" max="6" width="12" hidden="0" customWidth="1"/>
    <x:col min="7" max="7" width="14" hidden="0" customWidth="1"/>
    <x:col min="8" max="8" width="30" hidden="0" customWidth="1"/>
    <x:col min="9" max="9" width="52" hidden="0" customWidth="1"/>
    <x:col min="10" max="10" width="48" hidden="0" customWidth="1"/>
  </x:cols>
  <x:sheetData>
    <x:row r="1">
      <x:c r="A1" s="27" t="str">
        <x:v>横押しSMDモーメンタリスイッチ 調査結果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134" t="str">
        <x:v>ホイール軸延長上のサイドプッシュ用途｜小型・軽い順を優先｜2026-07-18</x:v>
      </x:c>
      <x:c r="B3" s="134"/>
      <x:c r="C3" s="134"/>
      <x:c r="D3" s="134"/>
      <x:c r="E3" s="134"/>
      <x:c r="F3" s="134"/>
      <x:c r="G3" s="134"/>
      <x:c r="H3" s="134"/>
      <x:c r="I3" s="134"/>
      <x:c r="J3" s="134"/>
    </x:row>
    <x:row r="4">
      <x:c r="A4" s="135"/>
      <x:c r="B4" s="135"/>
      <x:c r="C4" s="135"/>
      <x:c r="D4" s="135"/>
      <x:c r="E4" s="135"/>
      <x:c r="F4" s="135"/>
      <x:c r="G4" s="135"/>
      <x:c r="H4" s="135"/>
      <x:c r="I4" s="135"/>
      <x:c r="J4" s="135"/>
    </x:row>
    <x:row r="5">
      <x:c r="A5" s="50" t="n">
        <x:f>COUNTA('候補一覧'!$C$2:$C$75)</x:f>
        <x:v>74</x:v>
      </x:c>
      <x:c r="B5" s="51"/>
      <x:c r="C5" s="50" t="n">
        <x:f>COUNTIF('候補一覧'!$Q$2:$Q$75,"非常に軽い")+COUNTIF('候補一覧'!$Q$2:$Q$75,"軽い")</x:f>
        <x:v>34</x:v>
      </x:c>
      <x:c r="D5" s="51"/>
      <x:c r="E5" s="50" t="str">
        <x:v>0.8 N</x:v>
      </x:c>
      <x:c r="F5" s="51"/>
      <x:c r="G5" s="83" t="str">
        <x:v>最有力: EVPAT1L1B000
Edge Mount / 3.4×1.9×1.65 mm / 1.0 N</x:v>
      </x:c>
      <x:c r="H5" s="84"/>
      <x:c r="I5" s="84"/>
      <x:c r="J5" s="85"/>
    </x:row>
    <x:row r="6">
      <x:c r="A6" s="52"/>
      <x:c r="B6" s="53"/>
      <x:c r="C6" s="52"/>
      <x:c r="D6" s="53"/>
      <x:c r="E6" s="52"/>
      <x:c r="F6" s="53"/>
      <x:c r="G6" s="86"/>
      <x:c r="H6" s="87"/>
      <x:c r="I6" s="87"/>
      <x:c r="J6" s="88"/>
    </x:row>
    <x:row r="7">
      <x:c r="A7" s="54"/>
      <x:c r="B7" s="55"/>
      <x:c r="C7" s="54"/>
      <x:c r="D7" s="55"/>
      <x:c r="E7" s="54"/>
      <x:c r="F7" s="55"/>
      <x:c r="G7" s="89"/>
      <x:c r="H7" s="90"/>
      <x:c r="I7" s="90"/>
      <x:c r="J7" s="91"/>
    </x:row>
    <x:row r="8">
      <x:c r="A8" s="136" t="str">
        <x:v>候補総数</x:v>
      </x:c>
      <x:c r="B8" s="136"/>
      <x:c r="C8" s="136" t="str">
        <x:v>軽い候補 ≤1.6N</x:v>
      </x:c>
      <x:c r="D8" s="136"/>
      <x:c r="E8" s="136" t="str">
        <x:v>最小押下圧</x:v>
      </x:c>
      <x:c r="F8" s="136"/>
      <x:c r="G8" s="136" t="str">
        <x:v>一次試作推奨</x:v>
      </x:c>
      <x:c r="H8" s="136"/>
      <x:c r="I8" s="136"/>
      <x:c r="J8" s="136"/>
    </x:row>
    <x:row r="9">
      <x:c r="A9" s="135"/>
      <x:c r="B9" s="135"/>
      <x:c r="C9" s="135"/>
      <x:c r="D9" s="135"/>
      <x:c r="E9" s="135"/>
      <x:c r="F9" s="135"/>
      <x:c r="G9" s="135"/>
      <x:c r="H9" s="135"/>
      <x:c r="I9" s="135"/>
      <x:c r="J9" s="135"/>
    </x:row>
    <x:row r="10">
      <x:c r="A10" s="137" t="str">
        <x:v>まず試す候補（メーカー公式仕様が確認できるもの）</x:v>
      </x:c>
      <x:c r="B10" s="137"/>
      <x:c r="C10" s="137"/>
      <x:c r="D10" s="137"/>
      <x:c r="E10" s="137"/>
      <x:c r="F10" s="137"/>
      <x:c r="G10" s="137"/>
      <x:c r="H10" s="137"/>
      <x:c r="I10" s="137"/>
      <x:c r="J10" s="137"/>
    </x:row>
    <x:row r="11">
      <x:c r="A11" s="138" t="str">
        <x:v>優先</x:v>
      </x:c>
      <x:c r="B11" s="138" t="str">
        <x:v>メーカー</x:v>
      </x:c>
      <x:c r="C11" s="138" t="str">
        <x:v>型番</x:v>
      </x:c>
      <x:c r="D11" s="138" t="str">
        <x:v>寸法 L×W×H (mm)</x:v>
      </x:c>
      <x:c r="E11" s="138" t="str">
        <x:v>押下圧</x:v>
      </x:c>
      <x:c r="F11" s="138" t="str">
        <x:v>ストローク</x:v>
      </x:c>
      <x:c r="G11" s="138" t="str">
        <x:v>寿命</x:v>
      </x:c>
      <x:c r="H11" s="138" t="str">
        <x:v>特徴</x:v>
      </x:c>
      <x:c r="I11" s="138" t="str">
        <x:v>仕様URL</x:v>
      </x:c>
      <x:c r="J11" s="138" t="str">
        <x:v>購入検索</x:v>
      </x:c>
    </x:row>
    <x:row r="12">
      <x:c r="A12" s="139" t="n">
        <x:v>1</x:v>
      </x:c>
      <x:c r="B12" s="139" t="str">
        <x:v>Panasonic Industry</x:v>
      </x:c>
      <x:c r="C12" s="140" t="str">
        <x:v>EVPAT1L1B000</x:v>
      </x:c>
      <x:c r="D12" s="139" t="str">
        <x:v>3.4×1.9×1.65</x:v>
      </x:c>
      <x:c r="E12" s="139" t="str">
        <x:v>1 N</x:v>
      </x:c>
      <x:c r="F12" s="141" t="n">
        <x:v>0.08</x:v>
      </x:c>
      <x:c r="G12" s="142" t="n">
        <x:v>500000</x:v>
      </x:c>
      <x:c r="H12" s="139" t="str">
        <x:v>Insert端子・接地端子あり / IP67</x:v>
      </x:c>
      <x:c r="I12" s="139" t="str">
        <x:v>https://industry.panasonic.com/global/en/products/control/switch/light-touch/number/evpat1l1b000</x:v>
      </x:c>
      <x:c r="J12" s="139" t="str">
        <x:v>https://www.digikey.jp/ja/products?keywords=EVPAT1L1B000</x:v>
      </x:c>
    </x:row>
    <x:row r="13">
      <x:c r="A13" s="143" t="n">
        <x:v>2</x:v>
      </x:c>
      <x:c r="B13" s="143" t="str">
        <x:v>Panasonic Industry</x:v>
      </x:c>
      <x:c r="C13" s="144" t="str">
        <x:v>EVQP40B3M</x:v>
      </x:c>
      <x:c r="D13" s="143" t="str">
        <x:v>6.2×3×3.5</x:v>
      </x:c>
      <x:c r="E13" s="143" t="str">
        <x:v>1 N</x:v>
      </x:c>
      <x:c r="F13" s="145" t="n">
        <x:v>0.25</x:v>
      </x:c>
      <x:c r="G13" s="146" t="n">
        <x:v>1000000</x:v>
      </x:c>
      <x:c r="H13" s="143" t="str">
        <x:v>Flat端子・接地端子あり</x:v>
      </x:c>
      <x:c r="I13" s="143" t="str">
        <x:v>https://industry.panasonic.com/global/en/products/control/switch/light-touch/number/evqp40b3m</x:v>
      </x:c>
      <x:c r="J13" s="143" t="str">
        <x:v>https://www.digikey.jp/ja/products?keywords=EVQP40B3M</x:v>
      </x:c>
    </x:row>
    <x:row r="14">
      <x:c r="A14" s="143" t="n">
        <x:v>3</x:v>
      </x:c>
      <x:c r="B14" s="143" t="str">
        <x:v>Würth Elektronik</x:v>
      </x:c>
      <x:c r="C14" s="144" t="str">
        <x:v>P/N 434381035816</x:v>
      </x:c>
      <x:c r="D14" s="143" t="str">
        <x:v>6.2×3×3.5</x:v>
      </x:c>
      <x:c r="E14" s="143" t="str">
        <x:v>1.569 N</x:v>
      </x:c>
      <x:c r="F14" s="145" t="n">
        <x:v>0.2</x:v>
      </x:c>
      <x:c r="G14" s="146" t="n">
        <x:v>1000000</x:v>
      </x:c>
      <x:c r="H14" s="143" t="str">
        <x:v>160gf・青</x:v>
      </x:c>
      <x:c r="I14" s="143" t="str">
        <x:v>https://www.we-online.com/en/components/products/WS_TASU_SMT_TACT_SWITCH_6_2_X_3_0</x:v>
      </x:c>
      <x:c r="J14" s="143" t="str">
        <x:v>https://www.digikey.jp/ja/products?keywords=434381035816</x:v>
      </x:c>
    </x:row>
    <x:row r="15">
      <x:c r="A15" s="143" t="n">
        <x:v>4</x:v>
      </x:c>
      <x:c r="B15" s="143" t="str">
        <x:v>Panasonic Industry</x:v>
      </x:c>
      <x:c r="C15" s="144" t="str">
        <x:v>EVPAVAA1A</x:v>
      </x:c>
      <x:c r="D15" s="143" t="str">
        <x:v>2.8×2.65×1.95</x:v>
      </x:c>
      <x:c r="E15" s="143" t="str">
        <x:v>1.6 N</x:v>
      </x:c>
      <x:c r="F15" s="145" t="n">
        <x:v>0.13</x:v>
      </x:c>
      <x:c r="G15" s="146" t="n">
        <x:v>300000</x:v>
      </x:c>
      <x:c r="H15" s="143" t="str">
        <x:v>Flat端子</x:v>
      </x:c>
      <x:c r="I15" s="143" t="str">
        <x:v>https://industry.panasonic.com/ap/en/products/control/switch/light-touch/number/evpavaa1a</x:v>
      </x:c>
      <x:c r="J15" s="143" t="str">
        <x:v>https://www.digikey.jp/ja/products?keywords=EVPAVAA1A</x:v>
      </x:c>
    </x:row>
    <x:row r="16">
      <x:c r="A16" s="143" t="n">
        <x:v>5</x:v>
      </x:c>
      <x:c r="B16" s="143" t="str">
        <x:v>Panasonic Industry</x:v>
      </x:c>
      <x:c r="C16" s="144" t="str">
        <x:v>EVPAT2L1B000</x:v>
      </x:c>
      <x:c r="D16" s="143" t="str">
        <x:v>3.4×1.9×1.65</x:v>
      </x:c>
      <x:c r="E16" s="143" t="str">
        <x:v>1.6 N</x:v>
      </x:c>
      <x:c r="F16" s="145" t="n">
        <x:v>0.11</x:v>
      </x:c>
      <x:c r="G16" s="146" t="n">
        <x:v>500000</x:v>
      </x:c>
      <x:c r="H16" s="143" t="str">
        <x:v>Insert端子・接地端子あり / IP67</x:v>
      </x:c>
      <x:c r="I16" s="143" t="str">
        <x:v>https://industry.panasonic.com/global/en/products/control/switch/light-touch/number/evpat2l1b000</x:v>
      </x:c>
      <x:c r="J16" s="143" t="str">
        <x:v>https://www.digikey.jp/ja/products?keywords=EVPAT2L1B000</x:v>
      </x:c>
    </x:row>
    <x:row r="17">
      <x:c r="A17" s="143" t="n">
        <x:v>6</x:v>
      </x:c>
      <x:c r="B17" s="143" t="str">
        <x:v>Alps Alpine</x:v>
      </x:c>
      <x:c r="C17" s="144" t="str">
        <x:v>SKSNLME010</x:v>
      </x:c>
      <x:c r="D17" s="143" t="str">
        <x:v>7.5×3×3.5</x:v>
      </x:c>
      <x:c r="E17" s="143" t="str">
        <x:v>1.6 N</x:v>
      </x:c>
      <x:c r="F17" s="145" t="n">
        <x:v>0.15</x:v>
      </x:c>
      <x:c r="G17" s="146" t="n">
        <x:v>1000000</x:v>
      </x:c>
      <x:c r="H17" s="143" t="str">
        <x:v>長寿命</x:v>
      </x:c>
      <x:c r="I17" s="143" t="str">
        <x:v>https://tech.alpsalpine.com/e/products/category/tact-switch/sub/02/series/sksn/</x:v>
      </x:c>
      <x:c r="J17" s="143" t="str">
        <x:v>https://www.digikey.jp/ja/products?keywords=SKSNLME010</x:v>
      </x:c>
    </x:row>
    <x:row r="18">
      <x:c r="A18" s="143" t="n">
        <x:v>7</x:v>
      </x:c>
      <x:c r="B18" s="143" t="str">
        <x:v>Panasonic Industry</x:v>
      </x:c>
      <x:c r="C18" s="144" t="str">
        <x:v>EVPAEGE2A</x:v>
      </x:c>
      <x:c r="D18" s="143" t="str">
        <x:v>4.5×2.6×2.9</x:v>
      </x:c>
      <x:c r="E18" s="143" t="str">
        <x:v>1.6 N</x:v>
      </x:c>
      <x:c r="F18" s="145" t="n">
        <x:v>0.13</x:v>
      </x:c>
      <x:c r="G18" s="146" t="n">
        <x:v>200000</x:v>
      </x:c>
      <x:c r="H18" s="143" t="str">
        <x:v>L字端子・接地端子あり</x:v>
      </x:c>
      <x:c r="I18" s="143" t="str">
        <x:v>https://industry.panasonic.com/global/en/products/control/switch/light-touch/number/evpaege2a</x:v>
      </x:c>
      <x:c r="J18" s="143" t="str">
        <x:v>https://www.digikey.jp/ja/products?keywords=EVPAEGE2A</x:v>
      </x:c>
    </x:row>
    <x:row r="19">
      <x:c r="A19" s="143" t="n">
        <x:v>8</x:v>
      </x:c>
      <x:c r="B19" s="143" t="str">
        <x:v>Alps Alpine</x:v>
      </x:c>
      <x:c r="C19" s="144" t="str">
        <x:v>SKSJLCE010</x:v>
      </x:c>
      <x:c r="D19" s="143" t="str">
        <x:v>4.8×3.25×3.3</x:v>
      </x:c>
      <x:c r="E19" s="143" t="str">
        <x:v>0.8 N</x:v>
      </x:c>
      <x:c r="F19" s="145" t="n">
        <x:v>0.25</x:v>
      </x:c>
      <x:c r="G19" s="146" t="n">
        <x:v>2000000</x:v>
      </x:c>
      <x:c r="H19" s="143" t="str">
        <x:v>0.8N・長寿命</x:v>
      </x:c>
      <x:c r="I19" s="143" t="str">
        <x:v>https://tech.alpsalpine.com/e/products/category/tact-switch/sub/02/series/sksj/</x:v>
      </x:c>
      <x:c r="J19" s="143" t="str">
        <x:v>https://www.digikey.jp/ja/products?keywords=SKSJLCE010</x:v>
      </x:c>
    </x:row>
    <x:row r="20">
      <x:c r="A20" s="143" t="n">
        <x:v>9</x:v>
      </x:c>
      <x:c r="B20" s="143" t="str">
        <x:v>Alps Alpine</x:v>
      </x:c>
      <x:c r="C20" s="144" t="str">
        <x:v>SKSLLAE010</x:v>
      </x:c>
      <x:c r="D20" s="143" t="str">
        <x:v>4.5×2.6×2.2</x:v>
      </x:c>
      <x:c r="E20" s="143" t="str">
        <x:v>1.6 N</x:v>
      </x:c>
      <x:c r="F20" s="145" t="n">
        <x:v>0.15</x:v>
      </x:c>
      <x:c r="G20" s="146" t="n">
        <x:v>600000</x:v>
      </x:c>
      <x:c r="H20" s="143" t="str">
        <x:v>1.6N</x:v>
      </x:c>
      <x:c r="I20" s="143" t="str">
        <x:v>https://tech.alpsalpine.com/e/products/category/tact-switch/sub/02/series/sksl/</x:v>
      </x:c>
      <x:c r="J20" s="143" t="str">
        <x:v>https://www.digikey.jp/ja/products?keywords=SKSLLAE010</x:v>
      </x:c>
    </x:row>
    <x:row r="21">
      <x:c r="A21" s="147" t="n">
        <x:v>10</x:v>
      </x:c>
      <x:c r="B21" s="147" t="str">
        <x:v>Alps Alpine</x:v>
      </x:c>
      <x:c r="C21" s="148" t="str">
        <x:v>SKSCLCE010</x:v>
      </x:c>
      <x:c r="D21" s="147" t="str">
        <x:v>3.5×3.55×1.25</x:v>
      </x:c>
      <x:c r="E21" s="147" t="str">
        <x:v>1.6 N</x:v>
      </x:c>
      <x:c r="F21" s="149" t="n">
        <x:v>0.2</x:v>
      </x:c>
      <x:c r="G21" s="150" t="n">
        <x:v>100000</x:v>
      </x:c>
      <x:c r="H21" s="147" t="str">
        <x:v>接地端子なし・ボスなし</x:v>
      </x:c>
      <x:c r="I21" s="147" t="str">
        <x:v>https://tech.alpsalpine.com/e/products/category/tact-switch/sub/02/series/sksc/</x:v>
      </x:c>
      <x:c r="J21" s="147" t="str">
        <x:v>https://www.digikey.jp/ja/products?keywords=SKSCLCE010</x:v>
      </x:c>
    </x:row>
    <x:row r="22">
      <x:c r="A22" s="135"/>
      <x:c r="B22" s="135"/>
      <x:c r="C22" s="135"/>
      <x:c r="D22" s="135"/>
      <x:c r="E22" s="135"/>
      <x:c r="F22" s="135"/>
      <x:c r="G22" s="135"/>
      <x:c r="H22" s="135"/>
      <x:c r="I22" s="135"/>
      <x:c r="J22" s="135"/>
    </x:row>
    <x:row r="23" ht="48" customHeight="1">
      <x:c r="A23" s="151" t="str">
        <x:v>設計上の要点: 押下圧だけでなく、ホイール軸中心とアクチュエータ中心の高さ、許容オーバートラベル、横荷重、ランド剥離対策（ボス／補強板）を確認してください。0.8N品は軽い一方、誤操作や振動入力への余裕が小さくなります。</x:v>
      </x:c>
      <x:c r="B23" s="152"/>
      <x:c r="C23" s="152"/>
      <x:c r="D23" s="152"/>
      <x:c r="E23" s="152"/>
      <x:c r="F23" s="152"/>
      <x:c r="G23" s="152"/>
      <x:c r="H23" s="152"/>
      <x:c r="I23" s="152"/>
      <x:c r="J23" s="153"/>
    </x:row>
    <x:row r="24">
      <x:c r="A24" s="135"/>
      <x:c r="B24" s="135"/>
      <x:c r="C24" s="135"/>
      <x:c r="D24" s="135"/>
      <x:c r="E24" s="135"/>
      <x:c r="F24" s="135"/>
      <x:c r="G24" s="135"/>
      <x:c r="H24" s="135"/>
      <x:c r="I24" s="135"/>
      <x:c r="J24" s="135"/>
    </x:row>
    <x:row r="25">
      <x:c r="A25" s="154" t="str">
        <x:v>ユーザー提示の基準品・寸法図</x:v>
      </x:c>
      <x:c r="B25" s="154"/>
      <x:c r="C25" s="154"/>
      <x:c r="D25" s="154"/>
      <x:c r="E25" s="154"/>
      <x:c r="F25" s="154" t="str">
        <x:v>ユーザー提示の TS-1246VW 写真</x:v>
      </x:c>
      <x:c r="G25" s="154"/>
      <x:c r="H25" s="154"/>
      <x:c r="I25" s="154"/>
      <x:c r="J25" s="154"/>
    </x:row>
    <x:row r="26">
      <x:c r="A26" s="135"/>
      <x:c r="B26" s="135"/>
      <x:c r="C26" s="135"/>
      <x:c r="D26" s="135"/>
      <x:c r="E26" s="135"/>
      <x:c r="F26" s="135"/>
      <x:c r="G26" s="135"/>
      <x:c r="H26" s="135"/>
      <x:c r="I26" s="135"/>
      <x:c r="J26" s="135"/>
    </x:row>
    <x:row r="27">
      <x:c r="A27" s="135"/>
      <x:c r="B27" s="135"/>
      <x:c r="C27" s="135"/>
      <x:c r="D27" s="135"/>
      <x:c r="E27" s="135"/>
      <x:c r="F27" s="135"/>
      <x:c r="G27" s="135"/>
      <x:c r="H27" s="135"/>
      <x:c r="I27" s="135"/>
      <x:c r="J27" s="135"/>
    </x:row>
    <x:row r="28">
      <x:c r="A28" s="135"/>
      <x:c r="B28" s="135"/>
      <x:c r="C28" s="135"/>
      <x:c r="D28" s="135"/>
      <x:c r="E28" s="135"/>
      <x:c r="F28" s="135"/>
      <x:c r="G28" s="135"/>
      <x:c r="H28" s="135"/>
      <x:c r="I28" s="135"/>
      <x:c r="J28" s="135"/>
    </x:row>
    <x:row r="29">
      <x:c r="A29" s="135"/>
      <x:c r="B29" s="135"/>
      <x:c r="C29" s="135"/>
      <x:c r="D29" s="135"/>
      <x:c r="E29" s="135"/>
      <x:c r="F29" s="135"/>
      <x:c r="G29" s="135"/>
      <x:c r="H29" s="135"/>
      <x:c r="I29" s="135"/>
      <x:c r="J29" s="135"/>
    </x:row>
    <x:row r="30">
      <x:c r="A30" s="135"/>
      <x:c r="B30" s="135"/>
      <x:c r="C30" s="135"/>
      <x:c r="D30" s="135"/>
      <x:c r="E30" s="135"/>
      <x:c r="F30" s="135"/>
      <x:c r="G30" s="135"/>
      <x:c r="H30" s="135"/>
      <x:c r="I30" s="135"/>
      <x:c r="J30" s="135"/>
    </x:row>
    <x:row r="31">
      <x:c r="A31" s="135"/>
      <x:c r="B31" s="135"/>
      <x:c r="C31" s="135"/>
      <x:c r="D31" s="135"/>
      <x:c r="E31" s="135"/>
      <x:c r="F31" s="135"/>
      <x:c r="G31" s="135"/>
      <x:c r="H31" s="135"/>
      <x:c r="I31" s="135"/>
      <x:c r="J31" s="135"/>
    </x:row>
    <x:row r="32">
      <x:c r="A32" s="135"/>
      <x:c r="B32" s="135"/>
      <x:c r="C32" s="135"/>
      <x:c r="D32" s="135"/>
      <x:c r="E32" s="135"/>
      <x:c r="F32" s="135"/>
      <x:c r="G32" s="135"/>
      <x:c r="H32" s="135"/>
      <x:c r="I32" s="135"/>
      <x:c r="J32" s="135"/>
    </x:row>
    <x:row r="33">
      <x:c r="A33" s="135"/>
      <x:c r="B33" s="135"/>
      <x:c r="C33" s="135"/>
      <x:c r="D33" s="135"/>
      <x:c r="E33" s="135"/>
      <x:c r="F33" s="135"/>
      <x:c r="G33" s="135"/>
      <x:c r="H33" s="135"/>
      <x:c r="I33" s="135"/>
      <x:c r="J33" s="135"/>
    </x:row>
    <x:row r="34">
      <x:c r="A34" s="135"/>
      <x:c r="B34" s="135"/>
      <x:c r="C34" s="135"/>
      <x:c r="D34" s="135"/>
      <x:c r="E34" s="135"/>
      <x:c r="F34" s="135"/>
      <x:c r="G34" s="135"/>
      <x:c r="H34" s="135"/>
      <x:c r="I34" s="135"/>
      <x:c r="J34" s="135"/>
    </x:row>
    <x:row r="35">
      <x:c r="A35" s="135"/>
      <x:c r="B35" s="135"/>
      <x:c r="C35" s="135"/>
      <x:c r="D35" s="135"/>
      <x:c r="E35" s="135"/>
      <x:c r="F35" s="135"/>
      <x:c r="G35" s="135"/>
      <x:c r="H35" s="135"/>
      <x:c r="I35" s="135"/>
      <x:c r="J35" s="135"/>
    </x:row>
    <x:row r="36">
      <x:c r="A36" s="135"/>
      <x:c r="B36" s="135"/>
      <x:c r="C36" s="135"/>
      <x:c r="D36" s="135"/>
      <x:c r="E36" s="135"/>
      <x:c r="F36" s="135"/>
      <x:c r="G36" s="135"/>
      <x:c r="H36" s="135"/>
      <x:c r="I36" s="135"/>
      <x:c r="J36" s="135"/>
    </x:row>
    <x:row r="37">
      <x:c r="A37" s="135"/>
      <x:c r="B37" s="135"/>
      <x:c r="C37" s="135"/>
      <x:c r="D37" s="135"/>
      <x:c r="E37" s="135"/>
      <x:c r="F37" s="135"/>
      <x:c r="G37" s="135"/>
      <x:c r="H37" s="135"/>
      <x:c r="I37" s="135"/>
      <x:c r="J37" s="135"/>
    </x:row>
    <x:row r="38">
      <x:c r="A38" s="135"/>
      <x:c r="B38" s="135"/>
      <x:c r="C38" s="135"/>
      <x:c r="D38" s="135"/>
      <x:c r="E38" s="135"/>
      <x:c r="F38" s="135"/>
      <x:c r="G38" s="135"/>
      <x:c r="H38" s="135"/>
      <x:c r="I38" s="135"/>
      <x:c r="J38" s="135"/>
    </x:row>
    <x:row r="39">
      <x:c r="A39" s="135"/>
      <x:c r="B39" s="135"/>
      <x:c r="C39" s="135"/>
      <x:c r="D39" s="135"/>
      <x:c r="E39" s="135"/>
      <x:c r="F39" s="135"/>
      <x:c r="G39" s="135"/>
      <x:c r="H39" s="135"/>
      <x:c r="I39" s="135"/>
      <x:c r="J39" s="135"/>
    </x:row>
  </x:sheetData>
  <x:mergeCells>
    <x:mergeCell ref="A1:J2"/>
    <x:mergeCell ref="A3:J3"/>
    <x:mergeCell ref="A5:B7"/>
    <x:mergeCell ref="C5:D7"/>
    <x:mergeCell ref="E5:F7"/>
    <x:mergeCell ref="G5:J7"/>
    <x:mergeCell ref="A8:B8"/>
    <x:mergeCell ref="C8:D8"/>
    <x:mergeCell ref="E8:F8"/>
    <x:mergeCell ref="G8:J8"/>
    <x:mergeCell ref="A10:J10"/>
    <x:mergeCell ref="A23:J23"/>
    <x:mergeCell ref="A25:E25"/>
    <x:mergeCell ref="F25:J25"/>
  </x:mergeCells>
  <x:pageMargins left="0.7" right="0.7" top="0.75" bottom="0.75" header="0.3" footer="0.3"/>
  <x:drawing xmlns:r="http://schemas.openxmlformats.org/officeDocument/2006/relationships" r:id="Rd12ca5e54aee4a3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4" hidden="0" customWidth="1"/>
    <x:col min="4" max="4" width="12" hidden="0" customWidth="1"/>
    <x:col min="5" max="5" width="25" hidden="0" customWidth="1"/>
    <x:col min="6" max="6" width="9" hidden="0" customWidth="1"/>
    <x:col min="7" max="7" width="9" hidden="0" customWidth="1"/>
    <x:col min="8" max="8" width="9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3" hidden="0" customWidth="1"/>
    <x:col min="15" max="15" width="25" hidden="0" customWidth="1"/>
    <x:col min="16" max="16" width="15" hidden="0" customWidth="1"/>
    <x:col min="17" max="17" width="15" hidden="0" customWidth="1"/>
    <x:col min="18" max="18" width="12" hidden="0" customWidth="1"/>
    <x:col min="19" max="19" width="55" hidden="0" customWidth="1"/>
    <x:col min="20" max="20" width="48" hidden="0" customWidth="1"/>
    <x:col min="21" max="21" width="52" hidden="0" customWidth="1"/>
    <x:col min="22" max="22" width="23" hidden="0" customWidth="1"/>
    <x:col min="23" max="23" width="26" hidden="0" customWidth="1"/>
  </x:cols>
  <x:sheetData>
    <x:row r="1" ht="32" customHeight="1">
      <x:c r="A1" s="13" t="str">
        <x:v>メーカー</x:v>
      </x:c>
      <x:c r="B1" s="13" t="str">
        <x:v>シリーズ</x:v>
      </x:c>
      <x:c r="C1" s="13" t="str">
        <x:v>型番</x:v>
      </x:c>
      <x:c r="D1" s="13" t="str">
        <x:v>供給状態</x:v>
      </x:c>
      <x:c r="E1" s="13" t="str">
        <x:v>実装／機構</x:v>
      </x:c>
      <x:c r="F1" s="13" t="str">
        <x:v>L (mm)</x:v>
      </x:c>
      <x:c r="G1" s="13" t="str">
        <x:v>W (mm)</x:v>
      </x:c>
      <x:c r="H1" s="13" t="str">
        <x:v>H (mm)</x:v>
      </x:c>
      <x:c r="I1" s="13" t="str">
        <x:v>実装面積 (mm²)</x:v>
      </x:c>
      <x:c r="J1" s="13" t="str">
        <x:v>押下圧 (N)</x:v>
      </x:c>
      <x:c r="K1" s="13" t="str">
        <x:v>押下圧 (gf)</x:v>
      </x:c>
      <x:c r="L1" s="13" t="str">
        <x:v>ストローク (mm)</x:v>
      </x:c>
      <x:c r="M1" s="13" t="str">
        <x:v>寿命 (回)</x:v>
      </x:c>
      <x:c r="N1" s="13" t="str">
        <x:v>保護</x:v>
      </x:c>
      <x:c r="O1" s="13" t="str">
        <x:v>端子／ボス等</x:v>
      </x:c>
      <x:c r="P1" s="13" t="str">
        <x:v>サイズ区分</x:v>
      </x:c>
      <x:c r="Q1" s="13" t="str">
        <x:v>押下圧評価</x:v>
      </x:c>
      <x:c r="R1" s="13" t="str">
        <x:v>比較スコア</x:v>
      </x:c>
      <x:c r="S1" s="13" t="str">
        <x:v>メーカー仕様URL</x:v>
      </x:c>
      <x:c r="T1" s="13" t="str">
        <x:v>購入・検索URL</x:v>
      </x:c>
      <x:c r="U1" s="13" t="str">
        <x:v>選定メモ</x:v>
      </x:c>
      <x:c r="V1" s="13" t="str">
        <x:v>根拠レベル</x:v>
      </x:c>
      <x:c r="W1" s="13" t="str">
        <x:v>ミッド／エッジ適合</x:v>
      </x:c>
    </x:row>
    <x:row r="2">
      <x:c r="A2" s="20" t="str">
        <x:v>Panasonic Industry</x:v>
      </x:c>
      <x:c r="B2" s="20" t="str">
        <x:v>EVPAT</x:v>
      </x:c>
      <x:c r="C2" s="21" t="str">
        <x:v>EVPAT1L1B000</x:v>
      </x:c>
      <x:c r="D2" s="20" t="str">
        <x:v>掲載中</x:v>
      </x:c>
      <x:c r="E2" s="20" t="str">
        <x:v>横押しSMD／エッジマウント</x:v>
      </x:c>
      <x:c r="F2" s="22" t="n">
        <x:v>3.4</x:v>
      </x:c>
      <x:c r="G2" s="22" t="n">
        <x:v>1.9</x:v>
      </x:c>
      <x:c r="H2" s="22" t="n">
        <x:v>1.65</x:v>
      </x:c>
      <x:c r="I2" s="22" t="n">
        <x:f>IF(OR(F2="",G2=""),"",F2*G2)</x:f>
        <x:v>6.46</x:v>
      </x:c>
      <x:c r="J2" s="22" t="n">
        <x:v>1</x:v>
      </x:c>
      <x:c r="K2" s="22" t="n">
        <x:f>IF(J2="","",J2*101.971621)</x:f>
        <x:v>101.971621</x:v>
      </x:c>
      <x:c r="L2" s="22" t="n">
        <x:v>0.08</x:v>
      </x:c>
      <x:c r="M2" s="23" t="n">
        <x:v>500000</x:v>
      </x:c>
      <x:c r="N2" s="20" t="str">
        <x:v>IP67</x:v>
      </x:c>
      <x:c r="O2" s="20" t="str">
        <x:v>Insert端子・接地端子あり</x:v>
      </x:c>
      <x:c r="P2" s="20" t="str">
        <x:f>IF(J2="","要確認",IF(AND(MAX(F2,G2)&lt;=5,J2&lt;='評価基準'!$B$7),"小型・軽め",IF(MAX(F2,G2)&lt;=5,"小型",IF(MAX(F2,G2)&lt;=6.5,"標準","大きめ参考"))))</x:f>
        <x:v>小型・軽め</x:v>
      </x:c>
      <x:c r="Q2" s="20" t="str">
        <x:f>IF(J2="","不明",IF(J2&lt;='評価基準'!$B$6,"非常に軽い",IF(J2&lt;='評価基準'!$B$7,"軽い",IF(J2&lt;='評価基準'!$B$8,"中程度","重め"))))</x:f>
        <x:v>非常に軽い</x:v>
      </x:c>
      <x:c r="R2" s="24" t="n">
        <x:f>IF(OR(I2="",J2=""),"",MAX(0,ROUND(100-I2*'評価基準'!$B$2-J2*'評価基準'!$B$3-MAX(0,H2-'評価基準'!$B$5)*'評価基準'!$B$4,1)))</x:f>
        <x:v>72.4</x:v>
      </x:c>
      <x:c r="S2" s="20" t="str">
        <x:v>https://industry.panasonic.com/global/en/products/control/switch/light-touch/number/evpat1l1b000</x:v>
      </x:c>
      <x:c r="T2" s="20" t="str">
        <x:v>https://www.digikey.jp/ja/products?keywords=EVPAT1L1B000</x:v>
      </x:c>
      <x:c r="U2" s="25" t="str">
        <x:v>超小型・1.0N。今回の構造条件に最も合う有力候補。</x:v>
      </x:c>
      <x:c r="V2" s="20" t="str">
        <x:v>メーカー公式</x:v>
      </x:c>
      <x:c r="W2" s="20" t="str">
        <x:v>高（エッジマウント）</x:v>
      </x:c>
    </x:row>
    <x:row r="3">
      <x:c r="A3" s="20" t="str">
        <x:v>Panasonic Industry</x:v>
      </x:c>
      <x:c r="B3" s="20" t="str">
        <x:v>EVPAT</x:v>
      </x:c>
      <x:c r="C3" s="21" t="str">
        <x:v>EVPAT2L1B000</x:v>
      </x:c>
      <x:c r="D3" s="20" t="str">
        <x:v>掲載中</x:v>
      </x:c>
      <x:c r="E3" s="20" t="str">
        <x:v>横押しSMD／エッジマウント</x:v>
      </x:c>
      <x:c r="F3" s="22" t="n">
        <x:v>3.4</x:v>
      </x:c>
      <x:c r="G3" s="22" t="n">
        <x:v>1.9</x:v>
      </x:c>
      <x:c r="H3" s="22" t="n">
        <x:v>1.65</x:v>
      </x:c>
      <x:c r="I3" s="22" t="n">
        <x:f>IF(OR(F3="",G3=""),"",F3*G3)</x:f>
        <x:v>6.46</x:v>
      </x:c>
      <x:c r="J3" s="22" t="n">
        <x:v>1.6</x:v>
      </x:c>
      <x:c r="K3" s="22" t="n">
        <x:f>IF(J3="","",J3*101.971621)</x:f>
        <x:v>163.1545936</x:v>
      </x:c>
      <x:c r="L3" s="22" t="n">
        <x:v>0.11</x:v>
      </x:c>
      <x:c r="M3" s="23" t="n">
        <x:v>500000</x:v>
      </x:c>
      <x:c r="N3" s="20" t="str">
        <x:v>IP67</x:v>
      </x:c>
      <x:c r="O3" s="20" t="str">
        <x:v>Insert端子・接地端子あり</x:v>
      </x:c>
      <x:c r="P3" s="20" t="str">
        <x:f>IF(J3="","要確認",IF(AND(MAX(F3,G3)&lt;=5,J3&lt;='評価基準'!$B$7),"小型・軽め",IF(MAX(F3,G3)&lt;=5,"小型",IF(MAX(F3,G3)&lt;=6.5,"標準","大きめ参考"))))</x:f>
        <x:v>小型・軽め</x:v>
      </x:c>
      <x:c r="Q3" s="20" t="str">
        <x:f>IF(J3="","不明",IF(J3&lt;='評価基準'!$B$6,"非常に軽い",IF(J3&lt;='評価基準'!$B$7,"軽い",IF(J3&lt;='評価基準'!$B$8,"中程度","重め"))))</x:f>
        <x:v>軽い</x:v>
      </x:c>
      <x:c r="R3" s="24" t="n">
        <x:f>IF(OR(I3="",J3=""),"",MAX(0,ROUND(100-I3*'評価基準'!$B$2-J3*'評価基準'!$B$3-MAX(0,H3-'評価基準'!$B$5)*'評価基準'!$B$4,1)))</x:f>
        <x:v>62.8</x:v>
      </x:c>
      <x:c r="S3" s="20" t="str">
        <x:v>https://industry.panasonic.com/global/en/products/control/switch/light-touch/number/evpat2l1b000</x:v>
      </x:c>
      <x:c r="T3" s="20" t="str">
        <x:v>https://www.digikey.jp/ja/products?keywords=EVPAT2L1B000</x:v>
      </x:c>
      <x:c r="U3" s="25" t="str">
        <x:v>超小型・IP67。</x:v>
      </x:c>
      <x:c r="V3" s="20" t="str">
        <x:v>メーカー公式</x:v>
      </x:c>
      <x:c r="W3" s="20" t="str">
        <x:v>高（エッジマウント）</x:v>
      </x:c>
    </x:row>
    <x:row r="4">
      <x:c r="A4" s="20" t="str">
        <x:v>Panasonic Industry</x:v>
      </x:c>
      <x:c r="B4" s="20" t="str">
        <x:v>EVPAV</x:v>
      </x:c>
      <x:c r="C4" s="21" t="str">
        <x:v>EVPAVAA1A</x:v>
      </x:c>
      <x:c r="D4" s="20" t="str">
        <x:v>掲載中</x:v>
      </x:c>
      <x:c r="E4" s="20" t="str">
        <x:v>横押しSMD／エッジマウント</x:v>
      </x:c>
      <x:c r="F4" s="22" t="n">
        <x:v>2.8</x:v>
      </x:c>
      <x:c r="G4" s="22" t="n">
        <x:v>2.65</x:v>
      </x:c>
      <x:c r="H4" s="22" t="n">
        <x:v>1.95</x:v>
      </x:c>
      <x:c r="I4" s="22" t="n">
        <x:f>IF(OR(F4="",G4=""),"",F4*G4)</x:f>
        <x:v>7.419999999999999</x:v>
      </x:c>
      <x:c r="J4" s="22" t="n">
        <x:v>1.6</x:v>
      </x:c>
      <x:c r="K4" s="22" t="n">
        <x:f>IF(J4="","",J4*101.971621)</x:f>
        <x:v>163.1545936</x:v>
      </x:c>
      <x:c r="L4" s="22" t="n">
        <x:v>0.13</x:v>
      </x:c>
      <x:c r="M4" s="23" t="n">
        <x:v>300000</x:v>
      </x:c>
      <x:c r="N4" s="20" t="str">
        <x:v>なし</x:v>
      </x:c>
      <x:c r="O4" s="20" t="str">
        <x:v>Flat端子</x:v>
      </x:c>
      <x:c r="P4" s="20" t="str">
        <x:f>IF(J4="","要確認",IF(AND(MAX(F4,G4)&lt;=5,J4&lt;='評価基準'!$B$7),"小型・軽め",IF(MAX(F4,G4)&lt;=5,"小型",IF(MAX(F4,G4)&lt;=6.5,"標準","大きめ参考"))))</x:f>
        <x:v>小型・軽め</x:v>
      </x:c>
      <x:c r="Q4" s="20" t="str">
        <x:f>IF(J4="","不明",IF(J4&lt;='評価基準'!$B$6,"非常に軽い",IF(J4&lt;='評価基準'!$B$7,"軽い",IF(J4&lt;='評価基準'!$B$8,"中程度","重め"))))</x:f>
        <x:v>軽い</x:v>
      </x:c>
      <x:c r="R4" s="24" t="n">
        <x:f>IF(OR(I4="",J4=""),"",MAX(0,ROUND(100-I4*'評価基準'!$B$2-J4*'評価基準'!$B$3-MAX(0,H4-'評価基準'!$B$5)*'評価基準'!$B$4,1)))</x:f>
        <x:v>61</x:v>
      </x:c>
      <x:c r="S4" s="20" t="str">
        <x:v>https://industry.panasonic.com/ap/en/products/control/switch/light-touch/number/evpavaa1a</x:v>
      </x:c>
      <x:c r="T4" s="20" t="str">
        <x:v>https://www.digikey.jp/ja/products?keywords=EVPAVAA1A</x:v>
      </x:c>
      <x:c r="U4" s="25" t="str">
        <x:v>最小クラス。基板切欠きと実装公差を要確認。</x:v>
      </x:c>
      <x:c r="V4" s="20" t="str">
        <x:v>メーカー公式</x:v>
      </x:c>
      <x:c r="W4" s="20" t="str">
        <x:v>高（エッジマウント）</x:v>
      </x:c>
    </x:row>
    <x:row r="5">
      <x:c r="A5" s="20" t="str">
        <x:v>Alps Alpine</x:v>
      </x:c>
      <x:c r="B5" s="20" t="str">
        <x:v>SKSJ</x:v>
      </x:c>
      <x:c r="C5" s="21" t="str">
        <x:v>SKSJLCE010</x:v>
      </x:c>
      <x:c r="D5" s="20" t="str">
        <x:v>標準品</x:v>
      </x:c>
      <x:c r="E5" s="20" t="str">
        <x:v>横押しSMD／ハーフマウント</x:v>
      </x:c>
      <x:c r="F5" s="22" t="n">
        <x:v>4.8</x:v>
      </x:c>
      <x:c r="G5" s="22" t="n">
        <x:v>3.25</x:v>
      </x:c>
      <x:c r="H5" s="22" t="n">
        <x:v>3.3</x:v>
      </x:c>
      <x:c r="I5" s="22" t="n">
        <x:f>IF(OR(F5="",G5=""),"",F5*G5)</x:f>
        <x:v>15.6</x:v>
      </x:c>
      <x:c r="J5" s="22" t="n">
        <x:v>0.8</x:v>
      </x:c>
      <x:c r="K5" s="22" t="n">
        <x:f>IF(J5="","",J5*101.971621)</x:f>
        <x:v>81.5772968</x:v>
      </x:c>
      <x:c r="L5" s="22" t="n">
        <x:v>0.25</x:v>
      </x:c>
      <x:c r="M5" s="23" t="n">
        <x:v>2000000</x:v>
      </x:c>
      <x:c r="N5" s="20" t="str">
        <x:v>なし</x:v>
      </x:c>
      <x:c r="O5" s="20" t="str">
        <x:v>0.8N・長寿命</x:v>
      </x:c>
      <x:c r="P5" s="20" t="str">
        <x:f>IF(J5="","要確認",IF(AND(MAX(F5,G5)&lt;=5,J5&lt;='評価基準'!$B$7),"小型・軽め",IF(MAX(F5,G5)&lt;=5,"小型",IF(MAX(F5,G5)&lt;=6.5,"標準","大きめ参考"))))</x:f>
        <x:v>小型・軽め</x:v>
      </x:c>
      <x:c r="Q5" s="20" t="str">
        <x:f>IF(J5="","不明",IF(J5&lt;='評価基準'!$B$6,"非常に軽い",IF(J5&lt;='評価基準'!$B$7,"軽い",IF(J5&lt;='評価基準'!$B$8,"中程度","重め"))))</x:f>
        <x:v>非常に軽い</x:v>
      </x:c>
      <x:c r="R5" s="24" t="n">
        <x:f>IF(OR(I5="",J5=""),"",MAX(0,ROUND(100-I5*'評価基準'!$B$2-J5*'評価基準'!$B$3-MAX(0,H5-'評価基準'!$B$5)*'評価基準'!$B$4,1)))</x:f>
        <x:v>59.1</x:v>
      </x:c>
      <x:c r="S5" s="20" t="str">
        <x:v>https://tech.alpsalpine.com/e/products/category/tact-switch/sub/02/series/sksj/</x:v>
      </x:c>
      <x:c r="T5" s="20" t="str">
        <x:v>https://www.digikey.jp/ja/products?keywords=SKSJLCE010</x:v>
      </x:c>
      <x:c r="U5" s="25" t="str">
        <x:v>今回の最軽量。軸位置を3.3mm級に合わせやすい。</x:v>
      </x:c>
      <x:c r="V5" s="20" t="str">
        <x:v>メーカー公式</x:v>
      </x:c>
      <x:c r="W5" s="20" t="str">
        <x:v>高（ハーフマウント）</x:v>
      </x:c>
    </x:row>
    <x:row r="6">
      <x:c r="A6" s="20" t="str">
        <x:v>E-Switch</x:v>
      </x:c>
      <x:c r="B6" s="20" t="str">
        <x:v>TL3340</x:v>
      </x:c>
      <x:c r="C6" s="21" t="str">
        <x:v>TL3340AF130QG</x:v>
      </x:c>
      <x:c r="D6" s="20" t="str">
        <x:v>構成可能</x:v>
      </x:c>
      <x:c r="E6" s="20" t="str">
        <x:v>横押し／ライトアングルSMT</x:v>
      </x:c>
      <x:c r="F6" s="22" t="n">
        <x:v>4.25</x:v>
      </x:c>
      <x:c r="G6" s="22" t="n">
        <x:v>3.3</x:v>
      </x:c>
      <x:c r="H6" s="22" t="n">
        <x:v>3.4</x:v>
      </x:c>
      <x:c r="I6" s="22" t="n">
        <x:f>IF(OR(F6="",G6=""),"",F6*G6)</x:f>
        <x:v>14.024999999999999</x:v>
      </x:c>
      <x:c r="J6" s="22" t="n">
        <x:v>1.275</x:v>
      </x:c>
      <x:c r="K6" s="22" t="n">
        <x:f>IF(J6="","",J6*101.971621)</x:f>
        <x:v>130.01381677499998</x:v>
      </x:c>
      <x:c r="L6" s="22" t="n">
        <x:v>0.2</x:v>
      </x:c>
      <x:c r="M6" s="23" t="n">
        <x:v>100000</x:v>
      </x:c>
      <x:c r="N6" s="20" t="str">
        <x:v>なし</x:v>
      </x:c>
      <x:c r="O6" s="20" t="str">
        <x:v>Aアクチュエータ・130gf</x:v>
      </x:c>
      <x:c r="P6" s="20" t="str">
        <x:f>IF(J6="","要確認",IF(AND(MAX(F6,G6)&lt;=5,J6&lt;='評価基準'!$B$7),"小型・軽め",IF(MAX(F6,G6)&lt;=5,"小型",IF(MAX(F6,G6)&lt;=6.5,"標準","大きめ参考"))))</x:f>
        <x:v>小型・軽め</x:v>
      </x:c>
      <x:c r="Q6" s="20" t="str">
        <x:f>IF(J6="","不明",IF(J6&lt;='評価基準'!$B$6,"非常に軽い",IF(J6&lt;='評価基準'!$B$7,"軽い",IF(J6&lt;='評価基準'!$B$8,"中程度","重め"))))</x:f>
        <x:v>軽い</x:v>
      </x:c>
      <x:c r="R6" s="24" t="n">
        <x:f>IF(OR(I6="",J6=""),"",MAX(0,ROUND(100-I6*'評価基準'!$B$2-J6*'評価基準'!$B$3-MAX(0,H6-'評価基準'!$B$5)*'評価基準'!$B$4,1)))</x:f>
        <x:v>54.4</x:v>
      </x:c>
      <x:c r="S6" s="20" t="str">
        <x:v>https://www.e-switch.com/product/tl3340-series-subminiature-smt-right-angle-tactile-switch/</x:v>
      </x:c>
      <x:c r="T6" s="20" t="str">
        <x:v>https://www.digikey.jp/ja/products?keywords=TL3340AF130QG</x:v>
      </x:c>
      <x:c r="U6" s="25" t="str">
        <x:v>軽い130gf仕様。個別在庫は購入先で確認。</x:v>
      </x:c>
      <x:c r="V6" s="20" t="str">
        <x:v>メーカー公式（シリーズ構成）</x:v>
      </x:c>
      <x:c r="W6" s="20" t="str">
        <x:v>低（通常ライトアングル）</x:v>
      </x:c>
    </x:row>
    <x:row r="7">
      <x:c r="A7" s="20" t="str">
        <x:v>Alps Alpine</x:v>
      </x:c>
      <x:c r="B7" s="20" t="str">
        <x:v>SKTD</x:v>
      </x:c>
      <x:c r="C7" s="21" t="str">
        <x:v>SKTDLDE010</x:v>
      </x:c>
      <x:c r="D7" s="20" t="str">
        <x:v>標準品</x:v>
      </x:c>
      <x:c r="E7" s="20" t="str">
        <x:v>横押しSMD</x:v>
      </x:c>
      <x:c r="F7" s="22" t="n">
        <x:v>3.9</x:v>
      </x:c>
      <x:c r="G7" s="22" t="n">
        <x:v>2.9</x:v>
      </x:c>
      <x:c r="H7" s="22" t="n">
        <x:v>1.55</x:v>
      </x:c>
      <x:c r="I7" s="22" t="n">
        <x:f>IF(OR(F7="",G7=""),"",F7*G7)</x:f>
        <x:v>11.309999999999999</x:v>
      </x:c>
      <x:c r="J7" s="22" t="n">
        <x:v>1.6</x:v>
      </x:c>
      <x:c r="K7" s="22" t="n">
        <x:f>IF(J7="","",J7*101.971621)</x:f>
        <x:v>163.1545936</x:v>
      </x:c>
      <x:c r="L7" s="22" t="n">
        <x:v>0.15</x:v>
      </x:c>
      <x:c r="M7" s="23" t="n">
        <x:v>200000</x:v>
      </x:c>
      <x:c r="N7" s="20" t="str">
        <x:v>IP6X相当/IPX7</x:v>
      </x:c>
      <x:c r="O7" s="20" t="str">
        <x:v>防水防塵</x:v>
      </x:c>
      <x:c r="P7" s="20" t="str">
        <x:f>IF(J7="","要確認",IF(AND(MAX(F7,G7)&lt;=5,J7&lt;='評価基準'!$B$7),"小型・軽め",IF(MAX(F7,G7)&lt;=5,"小型",IF(MAX(F7,G7)&lt;=6.5,"標準","大きめ参考"))))</x:f>
        <x:v>小型・軽め</x:v>
      </x:c>
      <x:c r="Q7" s="20" t="str">
        <x:f>IF(J7="","不明",IF(J7&lt;='評価基準'!$B$6,"非常に軽い",IF(J7&lt;='評価基準'!$B$7,"軽い",IF(J7&lt;='評価基準'!$B$8,"中程度","重め"))))</x:f>
        <x:v>軽い</x:v>
      </x:c>
      <x:c r="R7" s="24" t="n">
        <x:f>IF(OR(I7="",J7=""),"",MAX(0,ROUND(100-I7*'評価基準'!$B$2-J7*'評価基準'!$B$3-MAX(0,H7-'評価基準'!$B$5)*'評価基準'!$B$4,1)))</x:f>
        <x:v>54</x:v>
      </x:c>
      <x:c r="S7" s="20" t="str">
        <x:v>https://tech.alpsalpine.com/e/products/category/tact-switch/sub/02/series/sktd/</x:v>
      </x:c>
      <x:c r="T7" s="20" t="str">
        <x:v>https://www.digikey.jp/ja/products?keywords=SKTDLDE010</x:v>
      </x:c>
      <x:c r="U7" s="25" t="str">
        <x:v>小型かつ防水防塵。</x:v>
      </x:c>
      <x:c r="V7" s="20" t="str">
        <x:v>メーカー公式</x:v>
      </x:c>
      <x:c r="W7" s="20" t="str">
        <x:v>低（通常ライトアングル）</x:v>
      </x:c>
    </x:row>
    <x:row r="8">
      <x:c r="A8" s="20" t="str">
        <x:v>Alps Alpine</x:v>
      </x:c>
      <x:c r="B8" s="20" t="str">
        <x:v>SKSL</x:v>
      </x:c>
      <x:c r="C8" s="21" t="str">
        <x:v>SKSLLAE010</x:v>
      </x:c>
      <x:c r="D8" s="20" t="str">
        <x:v>標準品</x:v>
      </x:c>
      <x:c r="E8" s="20" t="str">
        <x:v>横押しSMD／ハーフマウント</x:v>
      </x:c>
      <x:c r="F8" s="22" t="n">
        <x:v>4.5</x:v>
      </x:c>
      <x:c r="G8" s="22" t="n">
        <x:v>2.6</x:v>
      </x:c>
      <x:c r="H8" s="22" t="n">
        <x:v>2.2</x:v>
      </x:c>
      <x:c r="I8" s="22" t="n">
        <x:f>IF(OR(F8="",G8=""),"",F8*G8)</x:f>
        <x:v>11.700000000000001</x:v>
      </x:c>
      <x:c r="J8" s="22" t="n">
        <x:v>1.6</x:v>
      </x:c>
      <x:c r="K8" s="22" t="n">
        <x:f>IF(J8="","",J8*101.971621)</x:f>
        <x:v>163.1545936</x:v>
      </x:c>
      <x:c r="L8" s="22" t="n">
        <x:v>0.15</x:v>
      </x:c>
      <x:c r="M8" s="23" t="n">
        <x:v>600000</x:v>
      </x:c>
      <x:c r="N8" s="20" t="str">
        <x:v>なし</x:v>
      </x:c>
      <x:c r="O8" s="20" t="str">
        <x:v>1.6N</x:v>
      </x:c>
      <x:c r="P8" s="20" t="str">
        <x:f>IF(J8="","要確認",IF(AND(MAX(F8,G8)&lt;=5,J8&lt;='評価基準'!$B$7),"小型・軽め",IF(MAX(F8,G8)&lt;=5,"小型",IF(MAX(F8,G8)&lt;=6.5,"標準","大きめ参考"))))</x:f>
        <x:v>小型・軽め</x:v>
      </x:c>
      <x:c r="Q8" s="20" t="str">
        <x:f>IF(J8="","不明",IF(J8&lt;='評価基準'!$B$6,"非常に軽い",IF(J8&lt;='評価基準'!$B$7,"軽い",IF(J8&lt;='評価基準'!$B$8,"中程度","重め"))))</x:f>
        <x:v>軽い</x:v>
      </x:c>
      <x:c r="R8" s="24" t="n">
        <x:f>IF(OR(I8="",J8=""),"",MAX(0,ROUND(100-I8*'評価基準'!$B$2-J8*'評価基準'!$B$3-MAX(0,H8-'評価基準'!$B$5)*'評価基準'!$B$4,1)))</x:f>
        <x:v>53.3</x:v>
      </x:c>
      <x:c r="S8" s="20" t="str">
        <x:v>https://tech.alpsalpine.com/e/products/category/tact-switch/sub/02/series/sksl/</x:v>
      </x:c>
      <x:c r="T8" s="20" t="str">
        <x:v>https://www.digikey.jp/ja/products?keywords=SKSLLAE010</x:v>
      </x:c>
      <x:c r="U8" s="25" t="str">
        <x:v>細長く基板端に置きやすい。</x:v>
      </x:c>
      <x:c r="V8" s="20" t="str">
        <x:v>メーカー公式</x:v>
      </x:c>
      <x:c r="W8" s="20" t="str">
        <x:v>高（ハーフマウント）</x:v>
      </x:c>
    </x:row>
    <x:row r="9">
      <x:c r="A9" s="20" t="str">
        <x:v>Panasonic Industry</x:v>
      </x:c>
      <x:c r="B9" s="20" t="str">
        <x:v>EVPAE</x:v>
      </x:c>
      <x:c r="C9" s="21" t="str">
        <x:v>EVPAEGE2A</x:v>
      </x:c>
      <x:c r="D9" s="20" t="str">
        <x:v>掲載中</x:v>
      </x:c>
      <x:c r="E9" s="20" t="str">
        <x:v>横押しSMD／エッジマウント</x:v>
      </x:c>
      <x:c r="F9" s="22" t="n">
        <x:v>4.5</x:v>
      </x:c>
      <x:c r="G9" s="22" t="n">
        <x:v>2.6</x:v>
      </x:c>
      <x:c r="H9" s="22" t="n">
        <x:v>2.9</x:v>
      </x:c>
      <x:c r="I9" s="22" t="n">
        <x:f>IF(OR(F9="",G9=""),"",F9*G9)</x:f>
        <x:v>11.700000000000001</x:v>
      </x:c>
      <x:c r="J9" s="22" t="n">
        <x:v>1.6</x:v>
      </x:c>
      <x:c r="K9" s="22" t="n">
        <x:f>IF(J9="","",J9*101.971621)</x:f>
        <x:v>163.1545936</x:v>
      </x:c>
      <x:c r="L9" s="22" t="n">
        <x:v>0.13</x:v>
      </x:c>
      <x:c r="M9" s="23" t="n">
        <x:v>200000</x:v>
      </x:c>
      <x:c r="N9" s="20" t="str">
        <x:v>なし</x:v>
      </x:c>
      <x:c r="O9" s="20" t="str">
        <x:v>L字端子・接地端子あり</x:v>
      </x:c>
      <x:c r="P9" s="20" t="str">
        <x:f>IF(J9="","要確認",IF(AND(MAX(F9,G9)&lt;=5,J9&lt;='評価基準'!$B$7),"小型・軽め",IF(MAX(F9,G9)&lt;=5,"小型",IF(MAX(F9,G9)&lt;=6.5,"標準","大きめ参考"))))</x:f>
        <x:v>小型・軽め</x:v>
      </x:c>
      <x:c r="Q9" s="20" t="str">
        <x:f>IF(J9="","不明",IF(J9&lt;='評価基準'!$B$6,"非常に軽い",IF(J9&lt;='評価基準'!$B$7,"軽い",IF(J9&lt;='評価基準'!$B$8,"中程度","重め"))))</x:f>
        <x:v>軽い</x:v>
      </x:c>
      <x:c r="R9" s="24" t="n">
        <x:f>IF(OR(I9="",J9=""),"",MAX(0,ROUND(100-I9*'評価基準'!$B$2-J9*'評価基準'!$B$3-MAX(0,H9-'評価基準'!$B$5)*'評価基準'!$B$4,1)))</x:f>
        <x:v>53.3</x:v>
      </x:c>
      <x:c r="S9" s="20" t="str">
        <x:v>https://industry.panasonic.com/global/en/products/control/switch/light-touch/number/evpaege2a</x:v>
      </x:c>
      <x:c r="T9" s="20" t="str">
        <x:v>https://www.digikey.jp/ja/products?keywords=EVPAEGE2A</x:v>
      </x:c>
      <x:c r="U9" s="25" t="str">
        <x:v>薄いエッジマウント。</x:v>
      </x:c>
      <x:c r="V9" s="20" t="str">
        <x:v>メーカー公式</x:v>
      </x:c>
      <x:c r="W9" s="20" t="str">
        <x:v>高（エッジマウント）</x:v>
      </x:c>
    </x:row>
    <x:row r="10">
      <x:c r="A10" s="20" t="str">
        <x:v>Panasonic Industry</x:v>
      </x:c>
      <x:c r="B10" s="20" t="str">
        <x:v>EVPAE</x:v>
      </x:c>
      <x:c r="C10" s="21" t="str">
        <x:v>EVPAEBB2A</x:v>
      </x:c>
      <x:c r="D10" s="20" t="str">
        <x:v>掲載中</x:v>
      </x:c>
      <x:c r="E10" s="20" t="str">
        <x:v>横押しSMD／エッジマウント</x:v>
      </x:c>
      <x:c r="F10" s="22" t="n">
        <x:v>4.5</x:v>
      </x:c>
      <x:c r="G10" s="22" t="n">
        <x:v>2.6</x:v>
      </x:c>
      <x:c r="H10" s="22" t="n">
        <x:v>2.9</x:v>
      </x:c>
      <x:c r="I10" s="22" t="n">
        <x:f>IF(OR(F10="",G10=""),"",F10*G10)</x:f>
        <x:v>11.700000000000001</x:v>
      </x:c>
      <x:c r="J10" s="22" t="n">
        <x:v>1.6</x:v>
      </x:c>
      <x:c r="K10" s="22" t="n">
        <x:f>IF(J10="","",J10*101.971621)</x:f>
        <x:v>163.1545936</x:v>
      </x:c>
      <x:c r="L10" s="22" t="n">
        <x:v>0.15</x:v>
      </x:c>
      <x:c r="M10" s="23" t="n">
        <x:v>200000</x:v>
      </x:c>
      <x:c r="N10" s="20" t="str">
        <x:v>なし</x:v>
      </x:c>
      <x:c r="O10" s="20" t="str">
        <x:v>Flat端子・接地端子あり</x:v>
      </x:c>
      <x:c r="P10" s="20" t="str">
        <x:f>IF(J10="","要確認",IF(AND(MAX(F10,G10)&lt;=5,J10&lt;='評価基準'!$B$7),"小型・軽め",IF(MAX(F10,G10)&lt;=5,"小型",IF(MAX(F10,G10)&lt;=6.5,"標準","大きめ参考"))))</x:f>
        <x:v>小型・軽め</x:v>
      </x:c>
      <x:c r="Q10" s="20" t="str">
        <x:f>IF(J10="","不明",IF(J10&lt;='評価基準'!$B$6,"非常に軽い",IF(J10&lt;='評価基準'!$B$7,"軽い",IF(J10&lt;='評価基準'!$B$8,"中程度","重め"))))</x:f>
        <x:v>軽い</x:v>
      </x:c>
      <x:c r="R10" s="24" t="n">
        <x:f>IF(OR(I10="",J10=""),"",MAX(0,ROUND(100-I10*'評価基準'!$B$2-J10*'評価基準'!$B$3-MAX(0,H10-'評価基準'!$B$5)*'評価基準'!$B$4,1)))</x:f>
        <x:v>53.3</x:v>
      </x:c>
      <x:c r="S10" s="20" t="str">
        <x:v>https://industry.panasonic.com/global/en/products/control/switch/light-touch/number/evpaebb2a</x:v>
      </x:c>
      <x:c r="T10" s="20" t="str">
        <x:v>https://www.digikey.jp/ja/products?keywords=EVPAEBB2A</x:v>
      </x:c>
      <x:c r="U10" s="25" t="str"/>
      <x:c r="V10" s="20" t="str">
        <x:v>メーカー公式</x:v>
      </x:c>
      <x:c r="W10" s="20" t="str">
        <x:v>高（エッジマウント）</x:v>
      </x:c>
    </x:row>
    <x:row r="11">
      <x:c r="A11" s="20" t="str">
        <x:v>Alps Alpine</x:v>
      </x:c>
      <x:c r="B11" s="20" t="str">
        <x:v>SKSC</x:v>
      </x:c>
      <x:c r="C11" s="21" t="str">
        <x:v>SKSCLCE010</x:v>
      </x:c>
      <x:c r="D11" s="20" t="str">
        <x:v>標準品</x:v>
      </x:c>
      <x:c r="E11" s="20" t="str">
        <x:v>横押しSMD／ハーフマウント</x:v>
      </x:c>
      <x:c r="F11" s="22" t="n">
        <x:v>3.5</x:v>
      </x:c>
      <x:c r="G11" s="22" t="n">
        <x:v>3.55</x:v>
      </x:c>
      <x:c r="H11" s="22" t="n">
        <x:v>1.25</x:v>
      </x:c>
      <x:c r="I11" s="22" t="n">
        <x:f>IF(OR(F11="",G11=""),"",F11*G11)</x:f>
        <x:v>12.424999999999999</x:v>
      </x:c>
      <x:c r="J11" s="22" t="n">
        <x:v>1.6</x:v>
      </x:c>
      <x:c r="K11" s="22" t="n">
        <x:f>IF(J11="","",J11*101.971621)</x:f>
        <x:v>163.1545936</x:v>
      </x:c>
      <x:c r="L11" s="22" t="n">
        <x:v>0.2</x:v>
      </x:c>
      <x:c r="M11" s="23" t="n">
        <x:v>100000</x:v>
      </x:c>
      <x:c r="N11" s="20" t="str">
        <x:v>なし</x:v>
      </x:c>
      <x:c r="O11" s="20" t="str">
        <x:v>接地端子なし・ボスなし</x:v>
      </x:c>
      <x:c r="P11" s="20" t="str">
        <x:f>IF(J11="","要確認",IF(AND(MAX(F11,G11)&lt;=5,J11&lt;='評価基準'!$B$7),"小型・軽め",IF(MAX(F11,G11)&lt;=5,"小型",IF(MAX(F11,G11)&lt;=6.5,"標準","大きめ参考"))))</x:f>
        <x:v>小型・軽め</x:v>
      </x:c>
      <x:c r="Q11" s="20" t="str">
        <x:f>IF(J11="","不明",IF(J11&lt;='評価基準'!$B$6,"非常に軽い",IF(J11&lt;='評価基準'!$B$7,"軽い",IF(J11&lt;='評価基準'!$B$8,"中程度","重め"))))</x:f>
        <x:v>軽い</x:v>
      </x:c>
      <x:c r="R11" s="24" t="n">
        <x:f>IF(OR(I11="",J11=""),"",MAX(0,ROUND(100-I11*'評価基準'!$B$2-J11*'評価基準'!$B$3-MAX(0,H11-'評価基準'!$B$5)*'評価基準'!$B$4,1)))</x:f>
        <x:v>52</x:v>
      </x:c>
      <x:c r="S11" s="20" t="str">
        <x:v>https://tech.alpsalpine.com/e/products/category/tact-switch/sub/02/series/sksc/</x:v>
      </x:c>
      <x:c r="T11" s="20" t="str">
        <x:v>https://www.digikey.jp/ja/products?keywords=SKSCLCE010</x:v>
      </x:c>
      <x:c r="U11" s="25" t="str">
        <x:v>極薄・小面積。アクチュエータ中心高さの機構調整が必要。</x:v>
      </x:c>
      <x:c r="V11" s="20" t="str">
        <x:v>メーカー公式</x:v>
      </x:c>
      <x:c r="W11" s="20" t="str">
        <x:v>高（ハーフマウント）</x:v>
      </x:c>
    </x:row>
    <x:row r="12">
      <x:c r="A12" s="20" t="str">
        <x:v>Alps Alpine</x:v>
      </x:c>
      <x:c r="B12" s="20" t="str">
        <x:v>SKSC</x:v>
      </x:c>
      <x:c r="C12" s="21" t="str">
        <x:v>SKSCLDE010</x:v>
      </x:c>
      <x:c r="D12" s="20" t="str">
        <x:v>標準品</x:v>
      </x:c>
      <x:c r="E12" s="20" t="str">
        <x:v>横押しSMD／ハーフマウント</x:v>
      </x:c>
      <x:c r="F12" s="22" t="n">
        <x:v>3.5</x:v>
      </x:c>
      <x:c r="G12" s="22" t="n">
        <x:v>3.55</x:v>
      </x:c>
      <x:c r="H12" s="22" t="n">
        <x:v>1.25</x:v>
      </x:c>
      <x:c r="I12" s="22" t="n">
        <x:f>IF(OR(F12="",G12=""),"",F12*G12)</x:f>
        <x:v>12.424999999999999</x:v>
      </x:c>
      <x:c r="J12" s="22" t="n">
        <x:v>1.6</x:v>
      </x:c>
      <x:c r="K12" s="22" t="n">
        <x:f>IF(J12="","",J12*101.971621)</x:f>
        <x:v>163.1545936</x:v>
      </x:c>
      <x:c r="L12" s="22" t="n">
        <x:v>0.2</x:v>
      </x:c>
      <x:c r="M12" s="23" t="n">
        <x:v>100000</x:v>
      </x:c>
      <x:c r="N12" s="20" t="str">
        <x:v>なし</x:v>
      </x:c>
      <x:c r="O12" s="20" t="str">
        <x:v>接地端子なし・ボスあり</x:v>
      </x:c>
      <x:c r="P12" s="20" t="str">
        <x:f>IF(J12="","要確認",IF(AND(MAX(F12,G12)&lt;=5,J12&lt;='評価基準'!$B$7),"小型・軽め",IF(MAX(F12,G12)&lt;=5,"小型",IF(MAX(F12,G12)&lt;=6.5,"標準","大きめ参考"))))</x:f>
        <x:v>小型・軽め</x:v>
      </x:c>
      <x:c r="Q12" s="20" t="str">
        <x:f>IF(J12="","不明",IF(J12&lt;='評価基準'!$B$6,"非常に軽い",IF(J12&lt;='評価基準'!$B$7,"軽い",IF(J12&lt;='評価基準'!$B$8,"中程度","重め"))))</x:f>
        <x:v>軽い</x:v>
      </x:c>
      <x:c r="R12" s="24" t="n">
        <x:f>IF(OR(I12="",J12=""),"",MAX(0,ROUND(100-I12*'評価基準'!$B$2-J12*'評価基準'!$B$3-MAX(0,H12-'評価基準'!$B$5)*'評価基準'!$B$4,1)))</x:f>
        <x:v>52</x:v>
      </x:c>
      <x:c r="S12" s="20" t="str">
        <x:v>https://tech.alpsalpine.com/e/products/category/tact-switch/sub/02/series/sksc/</x:v>
      </x:c>
      <x:c r="T12" s="20" t="str">
        <x:v>https://www.digikey.jp/ja/products?keywords=SKSCLDE010</x:v>
      </x:c>
      <x:c r="U12" s="25" t="str"/>
      <x:c r="V12" s="20" t="str">
        <x:v>メーカー公式</x:v>
      </x:c>
      <x:c r="W12" s="20" t="str">
        <x:v>高（ハーフマウント）</x:v>
      </x:c>
    </x:row>
    <x:row r="13">
      <x:c r="A13" s="20" t="str">
        <x:v>Alps Alpine</x:v>
      </x:c>
      <x:c r="B13" s="20" t="str">
        <x:v>SKSC</x:v>
      </x:c>
      <x:c r="C13" s="21" t="str">
        <x:v>SKSCPCE010</x:v>
      </x:c>
      <x:c r="D13" s="20" t="str">
        <x:v>標準品</x:v>
      </x:c>
      <x:c r="E13" s="20" t="str">
        <x:v>横押しSMD／ハーフマウント</x:v>
      </x:c>
      <x:c r="F13" s="22" t="n">
        <x:v>3.5</x:v>
      </x:c>
      <x:c r="G13" s="22" t="n">
        <x:v>3.55</x:v>
      </x:c>
      <x:c r="H13" s="22" t="n">
        <x:v>1.25</x:v>
      </x:c>
      <x:c r="I13" s="22" t="n">
        <x:f>IF(OR(F13="",G13=""),"",F13*G13)</x:f>
        <x:v>12.424999999999999</x:v>
      </x:c>
      <x:c r="J13" s="22" t="n">
        <x:v>1.6</x:v>
      </x:c>
      <x:c r="K13" s="22" t="n">
        <x:f>IF(J13="","",J13*101.971621)</x:f>
        <x:v>163.1545936</x:v>
      </x:c>
      <x:c r="L13" s="22" t="n">
        <x:v>0.2</x:v>
      </x:c>
      <x:c r="M13" s="23" t="n">
        <x:v>100000</x:v>
      </x:c>
      <x:c r="N13" s="20" t="str">
        <x:v>なし</x:v>
      </x:c>
      <x:c r="O13" s="20" t="str">
        <x:v>接地端子あり・ボスなし</x:v>
      </x:c>
      <x:c r="P13" s="20" t="str">
        <x:f>IF(J13="","要確認",IF(AND(MAX(F13,G13)&lt;=5,J13&lt;='評価基準'!$B$7),"小型・軽め",IF(MAX(F13,G13)&lt;=5,"小型",IF(MAX(F13,G13)&lt;=6.5,"標準","大きめ参考"))))</x:f>
        <x:v>小型・軽め</x:v>
      </x:c>
      <x:c r="Q13" s="20" t="str">
        <x:f>IF(J13="","不明",IF(J13&lt;='評価基準'!$B$6,"非常に軽い",IF(J13&lt;='評価基準'!$B$7,"軽い",IF(J13&lt;='評価基準'!$B$8,"中程度","重め"))))</x:f>
        <x:v>軽い</x:v>
      </x:c>
      <x:c r="R13" s="24" t="n">
        <x:f>IF(OR(I13="",J13=""),"",MAX(0,ROUND(100-I13*'評価基準'!$B$2-J13*'評価基準'!$B$3-MAX(0,H13-'評価基準'!$B$5)*'評価基準'!$B$4,1)))</x:f>
        <x:v>52</x:v>
      </x:c>
      <x:c r="S13" s="20" t="str">
        <x:v>https://tech.alpsalpine.com/e/products/category/tact-switch/sub/02/series/sksc/</x:v>
      </x:c>
      <x:c r="T13" s="20" t="str">
        <x:v>https://www.digikey.jp/ja/products?keywords=SKSCPCE010</x:v>
      </x:c>
      <x:c r="U13" s="25" t="str"/>
      <x:c r="V13" s="20" t="str">
        <x:v>メーカー公式</x:v>
      </x:c>
      <x:c r="W13" s="20" t="str">
        <x:v>高（ハーフマウント）</x:v>
      </x:c>
    </x:row>
    <x:row r="14">
      <x:c r="A14" s="20" t="str">
        <x:v>Alps Alpine</x:v>
      </x:c>
      <x:c r="B14" s="20" t="str">
        <x:v>SKSC</x:v>
      </x:c>
      <x:c r="C14" s="21" t="str">
        <x:v>SKSCPDE010</x:v>
      </x:c>
      <x:c r="D14" s="20" t="str">
        <x:v>標準品</x:v>
      </x:c>
      <x:c r="E14" s="20" t="str">
        <x:v>横押しSMD／ハーフマウント</x:v>
      </x:c>
      <x:c r="F14" s="22" t="n">
        <x:v>3.5</x:v>
      </x:c>
      <x:c r="G14" s="22" t="n">
        <x:v>3.55</x:v>
      </x:c>
      <x:c r="H14" s="22" t="n">
        <x:v>1.25</x:v>
      </x:c>
      <x:c r="I14" s="22" t="n">
        <x:f>IF(OR(F14="",G14=""),"",F14*G14)</x:f>
        <x:v>12.424999999999999</x:v>
      </x:c>
      <x:c r="J14" s="22" t="n">
        <x:v>1.6</x:v>
      </x:c>
      <x:c r="K14" s="22" t="n">
        <x:f>IF(J14="","",J14*101.971621)</x:f>
        <x:v>163.1545936</x:v>
      </x:c>
      <x:c r="L14" s="22" t="n">
        <x:v>0.2</x:v>
      </x:c>
      <x:c r="M14" s="23" t="n">
        <x:v>100000</x:v>
      </x:c>
      <x:c r="N14" s="20" t="str">
        <x:v>なし</x:v>
      </x:c>
      <x:c r="O14" s="20" t="str">
        <x:v>接地端子あり・ボスあり</x:v>
      </x:c>
      <x:c r="P14" s="20" t="str">
        <x:f>IF(J14="","要確認",IF(AND(MAX(F14,G14)&lt;=5,J14&lt;='評価基準'!$B$7),"小型・軽め",IF(MAX(F14,G14)&lt;=5,"小型",IF(MAX(F14,G14)&lt;=6.5,"標準","大きめ参考"))))</x:f>
        <x:v>小型・軽め</x:v>
      </x:c>
      <x:c r="Q14" s="20" t="str">
        <x:f>IF(J14="","不明",IF(J14&lt;='評価基準'!$B$6,"非常に軽い",IF(J14&lt;='評価基準'!$B$7,"軽い",IF(J14&lt;='評価基準'!$B$8,"中程度","重め"))))</x:f>
        <x:v>軽い</x:v>
      </x:c>
      <x:c r="R14" s="24" t="n">
        <x:f>IF(OR(I14="",J14=""),"",MAX(0,ROUND(100-I14*'評価基準'!$B$2-J14*'評価基準'!$B$3-MAX(0,H14-'評価基準'!$B$5)*'評価基準'!$B$4,1)))</x:f>
        <x:v>52</x:v>
      </x:c>
      <x:c r="S14" s="20" t="str">
        <x:v>https://tech.alpsalpine.com/e/products/category/tact-switch/sub/02/series/sksc/</x:v>
      </x:c>
      <x:c r="T14" s="20" t="str">
        <x:v>https://www.digikey.jp/ja/products?keywords=SKSCPDE010</x:v>
      </x:c>
      <x:c r="U14" s="25" t="str"/>
      <x:c r="V14" s="20" t="str">
        <x:v>メーカー公式</x:v>
      </x:c>
      <x:c r="W14" s="20" t="str">
        <x:v>高（ハーフマウント）</x:v>
      </x:c>
    </x:row>
    <x:row r="15">
      <x:c r="A15" s="20" t="str">
        <x:v>Panasonic Industry</x:v>
      </x:c>
      <x:c r="B15" s="20" t="str">
        <x:v>EVQP7</x:v>
      </x:c>
      <x:c r="C15" s="21" t="str">
        <x:v>EVQP7K01P</x:v>
      </x:c>
      <x:c r="D15" s="20" t="str">
        <x:v>掲載中</x:v>
      </x:c>
      <x:c r="E15" s="20" t="str">
        <x:v>横押しSMD／J曲げ</x:v>
      </x:c>
      <x:c r="F15" s="22" t="n">
        <x:v>3.5</x:v>
      </x:c>
      <x:c r="G15" s="22" t="n">
        <x:v>3.55</x:v>
      </x:c>
      <x:c r="H15" s="22" t="n">
        <x:v>1.35</x:v>
      </x:c>
      <x:c r="I15" s="22" t="n">
        <x:f>IF(OR(F15="",G15=""),"",F15*G15)</x:f>
        <x:v>12.424999999999999</x:v>
      </x:c>
      <x:c r="J15" s="22" t="n">
        <x:v>1.6</x:v>
      </x:c>
      <x:c r="K15" s="22" t="n">
        <x:f>IF(J15="","",J15*101.971621)</x:f>
        <x:v>163.1545936</x:v>
      </x:c>
      <x:c r="L15" s="22" t="n">
        <x:v>0.2</x:v>
      </x:c>
      <x:c r="M15" s="23" t="n">
        <x:v>100000</x:v>
      </x:c>
      <x:c r="N15" s="20" t="str">
        <x:v>なし</x:v>
      </x:c>
      <x:c r="O15" s="20" t="str">
        <x:v>ボスなし</x:v>
      </x:c>
      <x:c r="P15" s="20" t="str">
        <x:f>IF(J15="","要確認",IF(AND(MAX(F15,G15)&lt;=5,J15&lt;='評価基準'!$B$7),"小型・軽め",IF(MAX(F15,G15)&lt;=5,"小型",IF(MAX(F15,G15)&lt;=6.5,"標準","大きめ参考"))))</x:f>
        <x:v>小型・軽め</x:v>
      </x:c>
      <x:c r="Q15" s="20" t="str">
        <x:f>IF(J15="","不明",IF(J15&lt;='評価基準'!$B$6,"非常に軽い",IF(J15&lt;='評価基準'!$B$7,"軽い",IF(J15&lt;='評価基準'!$B$8,"中程度","重め"))))</x:f>
        <x:v>軽い</x:v>
      </x:c>
      <x:c r="R15" s="24" t="n">
        <x:f>IF(OR(I15="",J15=""),"",MAX(0,ROUND(100-I15*'評価基準'!$B$2-J15*'評価基準'!$B$3-MAX(0,H15-'評価基準'!$B$5)*'評価基準'!$B$4,1)))</x:f>
        <x:v>52</x:v>
      </x:c>
      <x:c r="S15" s="20" t="str">
        <x:v>https://industry.panasonic.com/global/en/products/control/switch/light-touch/number/evqp7k01p</x:v>
      </x:c>
      <x:c r="T15" s="20" t="str">
        <x:v>https://www.digikey.jp/ja/products?keywords=EVQP7K01P</x:v>
      </x:c>
      <x:c r="U15" s="25" t="str">
        <x:v>添付品よりかなり薄い。</x:v>
      </x:c>
      <x:c r="V15" s="20" t="str">
        <x:v>メーカー公式</x:v>
      </x:c>
      <x:c r="W15" s="20" t="str">
        <x:v>中（取付方向を図面確認）</x:v>
      </x:c>
    </x:row>
    <x:row r="16">
      <x:c r="A16" s="20" t="str">
        <x:v>Panasonic Industry</x:v>
      </x:c>
      <x:c r="B16" s="20" t="str">
        <x:v>EVQP7</x:v>
      </x:c>
      <x:c r="C16" s="21" t="str">
        <x:v>EVQP7L01P</x:v>
      </x:c>
      <x:c r="D16" s="20" t="str">
        <x:v>掲載中</x:v>
      </x:c>
      <x:c r="E16" s="20" t="str">
        <x:v>横押しSMD／ストレート</x:v>
      </x:c>
      <x:c r="F16" s="22" t="n">
        <x:v>3.5</x:v>
      </x:c>
      <x:c r="G16" s="22" t="n">
        <x:v>3.55</x:v>
      </x:c>
      <x:c r="H16" s="22" t="n">
        <x:v>1.35</x:v>
      </x:c>
      <x:c r="I16" s="22" t="n">
        <x:f>IF(OR(F16="",G16=""),"",F16*G16)</x:f>
        <x:v>12.424999999999999</x:v>
      </x:c>
      <x:c r="J16" s="22" t="n">
        <x:v>1.6</x:v>
      </x:c>
      <x:c r="K16" s="22" t="n">
        <x:f>IF(J16="","",J16*101.971621)</x:f>
        <x:v>163.1545936</x:v>
      </x:c>
      <x:c r="L16" s="22" t="n">
        <x:v>0.2</x:v>
      </x:c>
      <x:c r="M16" s="23" t="n">
        <x:v>100000</x:v>
      </x:c>
      <x:c r="N16" s="20" t="str">
        <x:v>なし</x:v>
      </x:c>
      <x:c r="O16" s="20" t="str">
        <x:v>ボスあり</x:v>
      </x:c>
      <x:c r="P16" s="20" t="str">
        <x:f>IF(J16="","要確認",IF(AND(MAX(F16,G16)&lt;=5,J16&lt;='評価基準'!$B$7),"小型・軽め",IF(MAX(F16,G16)&lt;=5,"小型",IF(MAX(F16,G16)&lt;=6.5,"標準","大きめ参考"))))</x:f>
        <x:v>小型・軽め</x:v>
      </x:c>
      <x:c r="Q16" s="20" t="str">
        <x:f>IF(J16="","不明",IF(J16&lt;='評価基準'!$B$6,"非常に軽い",IF(J16&lt;='評価基準'!$B$7,"軽い",IF(J16&lt;='評価基準'!$B$8,"中程度","重め"))))</x:f>
        <x:v>軽い</x:v>
      </x:c>
      <x:c r="R16" s="24" t="n">
        <x:f>IF(OR(I16="",J16=""),"",MAX(0,ROUND(100-I16*'評価基準'!$B$2-J16*'評価基準'!$B$3-MAX(0,H16-'評価基準'!$B$5)*'評価基準'!$B$4,1)))</x:f>
        <x:v>52</x:v>
      </x:c>
      <x:c r="S16" s="20" t="str">
        <x:v>https://industry.panasonic.com/global/en/products/control/switch/light-touch/number/evqp7l01p</x:v>
      </x:c>
      <x:c r="T16" s="20" t="str">
        <x:v>https://www.digikey.jp/ja/products?keywords=EVQP7L01P</x:v>
      </x:c>
      <x:c r="U16" s="25" t="str"/>
      <x:c r="V16" s="20" t="str">
        <x:v>メーカー公式</x:v>
      </x:c>
      <x:c r="W16" s="20" t="str">
        <x:v>中（取付方向を図面確認）</x:v>
      </x:c>
    </x:row>
    <x:row r="17">
      <x:c r="A17" s="20" t="str">
        <x:v>Panasonic Industry</x:v>
      </x:c>
      <x:c r="B17" s="20" t="str">
        <x:v>EVQP4</x:v>
      </x:c>
      <x:c r="C17" s="21" t="str">
        <x:v>EVQP40B3M</x:v>
      </x:c>
      <x:c r="D17" s="20" t="str">
        <x:v>掲載中</x:v>
      </x:c>
      <x:c r="E17" s="20" t="str">
        <x:v>横押しSMD／エッジマウント</x:v>
      </x:c>
      <x:c r="F17" s="22" t="n">
        <x:v>6.2</x:v>
      </x:c>
      <x:c r="G17" s="22" t="n">
        <x:v>3</x:v>
      </x:c>
      <x:c r="H17" s="22" t="n">
        <x:v>3.5</x:v>
      </x:c>
      <x:c r="I17" s="22" t="n">
        <x:f>IF(OR(F17="",G17=""),"",F17*G17)</x:f>
        <x:v>18.6</x:v>
      </x:c>
      <x:c r="J17" s="22" t="n">
        <x:v>1</x:v>
      </x:c>
      <x:c r="K17" s="22" t="n">
        <x:f>IF(J17="","",J17*101.971621)</x:f>
        <x:v>101.971621</x:v>
      </x:c>
      <x:c r="L17" s="22" t="n">
        <x:v>0.25</x:v>
      </x:c>
      <x:c r="M17" s="23" t="n">
        <x:v>1000000</x:v>
      </x:c>
      <x:c r="N17" s="20" t="str">
        <x:v>なし</x:v>
      </x:c>
      <x:c r="O17" s="20" t="str">
        <x:v>Flat端子・接地端子あり</x:v>
      </x:c>
      <x:c r="P17" s="20" t="str">
        <x:f>IF(J17="","要確認",IF(AND(MAX(F17,G17)&lt;=5,J17&lt;='評価基準'!$B$7),"小型・軽め",IF(MAX(F17,G17)&lt;=5,"小型",IF(MAX(F17,G17)&lt;=6.5,"標準","大きめ参考"))))</x:f>
        <x:v>標準</x:v>
      </x:c>
      <x:c r="Q17" s="20" t="str">
        <x:f>IF(J17="","不明",IF(J17&lt;='評価基準'!$B$6,"非常に軽い",IF(J17&lt;='評価基準'!$B$7,"軽い",IF(J17&lt;='評価基準'!$B$8,"中程度","重め"))))</x:f>
        <x:v>非常に軽い</x:v>
      </x:c>
      <x:c r="R17" s="24" t="n">
        <x:f>IF(OR(I17="",J17=""),"",MAX(0,ROUND(100-I17*'評価基準'!$B$2-J17*'評価基準'!$B$3-MAX(0,H17-'評価基準'!$B$5)*'評価基準'!$B$4,1)))</x:f>
        <x:v>50.5</x:v>
      </x:c>
      <x:c r="S17" s="20" t="str">
        <x:v>https://industry.panasonic.com/global/en/products/control/switch/light-touch/number/evqp40b3m</x:v>
      </x:c>
      <x:c r="T17" s="20" t="str">
        <x:v>https://www.digikey.jp/ja/products?keywords=EVQP40B3M</x:v>
      </x:c>
      <x:c r="U17" s="25" t="str">
        <x:v>TS-1246VWとほぼ同じ外形級で1.0N。非常に有力。</x:v>
      </x:c>
      <x:c r="V17" s="20" t="str">
        <x:v>メーカー公式</x:v>
      </x:c>
      <x:c r="W17" s="20" t="str">
        <x:v>高（エッジマウント）</x:v>
      </x:c>
    </x:row>
    <x:row r="18">
      <x:c r="A18" s="20" t="str">
        <x:v>E-Switch</x:v>
      </x:c>
      <x:c r="B18" s="20" t="str">
        <x:v>TL3340</x:v>
      </x:c>
      <x:c r="C18" s="21" t="str">
        <x:v>TL3340AF160QG</x:v>
      </x:c>
      <x:c r="D18" s="20" t="str">
        <x:v>在庫掲載</x:v>
      </x:c>
      <x:c r="E18" s="20" t="str">
        <x:v>横押し／ライトアングルSMT</x:v>
      </x:c>
      <x:c r="F18" s="22" t="n">
        <x:v>4.25</x:v>
      </x:c>
      <x:c r="G18" s="22" t="n">
        <x:v>3.3</x:v>
      </x:c>
      <x:c r="H18" s="22" t="n">
        <x:v>3.4</x:v>
      </x:c>
      <x:c r="I18" s="22" t="n">
        <x:f>IF(OR(F18="",G18=""),"",F18*G18)</x:f>
        <x:v>14.024999999999999</x:v>
      </x:c>
      <x:c r="J18" s="22" t="n">
        <x:v>1.569</x:v>
      </x:c>
      <x:c r="K18" s="22" t="n">
        <x:f>IF(J18="","",J18*101.971621)</x:f>
        <x:v>159.993473349</x:v>
      </x:c>
      <x:c r="L18" s="22" t="n">
        <x:v>0.2</x:v>
      </x:c>
      <x:c r="M18" s="23" t="n">
        <x:v>100000</x:v>
      </x:c>
      <x:c r="N18" s="20" t="str">
        <x:v>なし</x:v>
      </x:c>
      <x:c r="O18" s="20" t="str">
        <x:v>Aアクチュエータ・160gf</x:v>
      </x:c>
      <x:c r="P18" s="20" t="str">
        <x:f>IF(J18="","要確認",IF(AND(MAX(F18,G18)&lt;=5,J18&lt;='評価基準'!$B$7),"小型・軽め",IF(MAX(F18,G18)&lt;=5,"小型",IF(MAX(F18,G18)&lt;=6.5,"標準","大きめ参考"))))</x:f>
        <x:v>小型・軽め</x:v>
      </x:c>
      <x:c r="Q18" s="20" t="str">
        <x:f>IF(J18="","不明",IF(J18&lt;='評価基準'!$B$6,"非常に軽い",IF(J18&lt;='評価基準'!$B$7,"軽い",IF(J18&lt;='評価基準'!$B$8,"中程度","重め"))))</x:f>
        <x:v>軽い</x:v>
      </x:c>
      <x:c r="R18" s="24" t="n">
        <x:f>IF(OR(I18="",J18=""),"",MAX(0,ROUND(100-I18*'評価基準'!$B$2-J18*'評価基準'!$B$3-MAX(0,H18-'評価基準'!$B$5)*'評価基準'!$B$4,1)))</x:f>
        <x:v>49.7</x:v>
      </x:c>
      <x:c r="S18" s="20" t="str">
        <x:v>https://www.e-switch.com/product/tl3340-series-subminiature-smt-right-angle-tactile-switch/</x:v>
      </x:c>
      <x:c r="T18" s="20" t="str">
        <x:v>https://www.digikey.jp/ja/products?keywords=TL3340AF160QG</x:v>
      </x:c>
      <x:c r="U18" s="25" t="str"/>
      <x:c r="V18" s="20" t="str">
        <x:v>メーカー公式</x:v>
      </x:c>
      <x:c r="W18" s="20" t="str">
        <x:v>低（通常ライトアングル）</x:v>
      </x:c>
    </x:row>
    <x:row r="19">
      <x:c r="A19" s="20" t="str">
        <x:v>E-Switch</x:v>
      </x:c>
      <x:c r="B19" s="20" t="str">
        <x:v>TL3340</x:v>
      </x:c>
      <x:c r="C19" s="21" t="str">
        <x:v>TL3340BF160QG</x:v>
      </x:c>
      <x:c r="D19" s="20" t="str">
        <x:v>共通構成</x:v>
      </x:c>
      <x:c r="E19" s="20" t="str">
        <x:v>横押し／ライトアングルSMT</x:v>
      </x:c>
      <x:c r="F19" s="22" t="n">
        <x:v>4.25</x:v>
      </x:c>
      <x:c r="G19" s="22" t="n">
        <x:v>3.3</x:v>
      </x:c>
      <x:c r="H19" s="22"/>
      <x:c r="I19" s="22" t="n">
        <x:f>IF(OR(F19="",G19=""),"",F19*G19)</x:f>
        <x:v>14.024999999999999</x:v>
      </x:c>
      <x:c r="J19" s="22" t="n">
        <x:v>1.569</x:v>
      </x:c>
      <x:c r="K19" s="22" t="n">
        <x:f>IF(J19="","",J19*101.971621)</x:f>
        <x:v>159.993473349</x:v>
      </x:c>
      <x:c r="L19" s="22" t="n">
        <x:v>0.2</x:v>
      </x:c>
      <x:c r="M19" s="23" t="n">
        <x:v>100000</x:v>
      </x:c>
      <x:c r="N19" s="20" t="str">
        <x:v>なし</x:v>
      </x:c>
      <x:c r="O19" s="20" t="str">
        <x:v>Bアクチュエータ・160gf</x:v>
      </x:c>
      <x:c r="P19" s="20" t="str">
        <x:f>IF(J19="","要確認",IF(AND(MAX(F19,G19)&lt;=5,J19&lt;='評価基準'!$B$7),"小型・軽め",IF(MAX(F19,G19)&lt;=5,"小型",IF(MAX(F19,G19)&lt;=6.5,"標準","大きめ参考"))))</x:f>
        <x:v>小型・軽め</x:v>
      </x:c>
      <x:c r="Q19" s="20" t="str">
        <x:f>IF(J19="","不明",IF(J19&lt;='評価基準'!$B$6,"非常に軽い",IF(J19&lt;='評価基準'!$B$7,"軽い",IF(J19&lt;='評価基準'!$B$8,"中程度","重め"))))</x:f>
        <x:v>軽い</x:v>
      </x:c>
      <x:c r="R19" s="24" t="n">
        <x:f>IF(OR(I19="",J19=""),"",MAX(0,ROUND(100-I19*'評価基準'!$B$2-J19*'評価基準'!$B$3-MAX(0,H19-'評価基準'!$B$5)*'評価基準'!$B$4,1)))</x:f>
        <x:v>49.7</x:v>
      </x:c>
      <x:c r="S19" s="20" t="str">
        <x:v>https://www.e-switch.com/product/tl3340-series-subminiature-smt-right-angle-tactile-switch/</x:v>
      </x:c>
      <x:c r="T19" s="20" t="str">
        <x:v>https://www.digikey.jp/ja/products?keywords=TL3340BF160QG</x:v>
      </x:c>
      <x:c r="U19" s="25" t="str">
        <x:v>高さは個別図面で確認。</x:v>
      </x:c>
      <x:c r="V19" s="20" t="str">
        <x:v>メーカー公式</x:v>
      </x:c>
      <x:c r="W19" s="20" t="str">
        <x:v>低（通常ライトアングル）</x:v>
      </x:c>
    </x:row>
    <x:row r="20">
      <x:c r="A20" s="20" t="str">
        <x:v>E-Switch</x:v>
      </x:c>
      <x:c r="B20" s="20" t="str">
        <x:v>TL3340</x:v>
      </x:c>
      <x:c r="C20" s="21" t="str">
        <x:v>TL3340CF160QG</x:v>
      </x:c>
      <x:c r="D20" s="20" t="str">
        <x:v>共通構成</x:v>
      </x:c>
      <x:c r="E20" s="20" t="str">
        <x:v>横押し／ライトアングルSMT</x:v>
      </x:c>
      <x:c r="F20" s="22" t="n">
        <x:v>4.25</x:v>
      </x:c>
      <x:c r="G20" s="22" t="n">
        <x:v>3.3</x:v>
      </x:c>
      <x:c r="H20" s="22"/>
      <x:c r="I20" s="22" t="n">
        <x:f>IF(OR(F20="",G20=""),"",F20*G20)</x:f>
        <x:v>14.024999999999999</x:v>
      </x:c>
      <x:c r="J20" s="22" t="n">
        <x:v>1.569</x:v>
      </x:c>
      <x:c r="K20" s="22" t="n">
        <x:f>IF(J20="","",J20*101.971621)</x:f>
        <x:v>159.993473349</x:v>
      </x:c>
      <x:c r="L20" s="22" t="n">
        <x:v>0.2</x:v>
      </x:c>
      <x:c r="M20" s="23" t="n">
        <x:v>100000</x:v>
      </x:c>
      <x:c r="N20" s="20" t="str">
        <x:v>なし</x:v>
      </x:c>
      <x:c r="O20" s="20" t="str">
        <x:v>Cアクチュエータ・160gf</x:v>
      </x:c>
      <x:c r="P20" s="20" t="str">
        <x:f>IF(J20="","要確認",IF(AND(MAX(F20,G20)&lt;=5,J20&lt;='評価基準'!$B$7),"小型・軽め",IF(MAX(F20,G20)&lt;=5,"小型",IF(MAX(F20,G20)&lt;=6.5,"標準","大きめ参考"))))</x:f>
        <x:v>小型・軽め</x:v>
      </x:c>
      <x:c r="Q20" s="20" t="str">
        <x:f>IF(J20="","不明",IF(J20&lt;='評価基準'!$B$6,"非常に軽い",IF(J20&lt;='評価基準'!$B$7,"軽い",IF(J20&lt;='評価基準'!$B$8,"中程度","重め"))))</x:f>
        <x:v>軽い</x:v>
      </x:c>
      <x:c r="R20" s="24" t="n">
        <x:f>IF(OR(I20="",J20=""),"",MAX(0,ROUND(100-I20*'評価基準'!$B$2-J20*'評価基準'!$B$3-MAX(0,H20-'評価基準'!$B$5)*'評価基準'!$B$4,1)))</x:f>
        <x:v>49.7</x:v>
      </x:c>
      <x:c r="S20" s="20" t="str">
        <x:v>https://www.e-switch.com/product/tl3340-series-subminiature-smt-right-angle-tactile-switch/</x:v>
      </x:c>
      <x:c r="T20" s="20" t="str">
        <x:v>https://www.digikey.jp/ja/products?keywords=TL3340CF160QG</x:v>
      </x:c>
      <x:c r="U20" s="25" t="str">
        <x:v>高さは個別図面で確認。</x:v>
      </x:c>
      <x:c r="V20" s="20" t="str">
        <x:v>メーカー公式</x:v>
      </x:c>
      <x:c r="W20" s="20" t="str">
        <x:v>低（通常ライトアングル）</x:v>
      </x:c>
    </x:row>
    <x:row r="21">
      <x:c r="A21" s="20" t="str">
        <x:v>Alps Alpine</x:v>
      </x:c>
      <x:c r="B21" s="20" t="str">
        <x:v>SKTD</x:v>
      </x:c>
      <x:c r="C21" s="21" t="str">
        <x:v>SKTDLGE010</x:v>
      </x:c>
      <x:c r="D21" s="20" t="str">
        <x:v>標準品</x:v>
      </x:c>
      <x:c r="E21" s="20" t="str">
        <x:v>横押しSMD</x:v>
      </x:c>
      <x:c r="F21" s="22" t="n">
        <x:v>3.9</x:v>
      </x:c>
      <x:c r="G21" s="22" t="n">
        <x:v>2.9</x:v>
      </x:c>
      <x:c r="H21" s="22" t="n">
        <x:v>1.55</x:v>
      </x:c>
      <x:c r="I21" s="22" t="n">
        <x:f>IF(OR(F21="",G21=""),"",F21*G21)</x:f>
        <x:v>11.309999999999999</x:v>
      </x:c>
      <x:c r="J21" s="22" t="n">
        <x:v>2</x:v>
      </x:c>
      <x:c r="K21" s="22" t="n">
        <x:f>IF(J21="","",J21*101.971621)</x:f>
        <x:v>203.943242</x:v>
      </x:c>
      <x:c r="L21" s="22" t="n">
        <x:v>0.15</x:v>
      </x:c>
      <x:c r="M21" s="23" t="n">
        <x:v>200000</x:v>
      </x:c>
      <x:c r="N21" s="20" t="str">
        <x:v>IP6X相当/IPX7</x:v>
      </x:c>
      <x:c r="O21" s="20" t="str">
        <x:v>防水防塵・2.0N</x:v>
      </x:c>
      <x:c r="P21" s="20" t="str">
        <x:f>IF(J21="","要確認",IF(AND(MAX(F21,G21)&lt;=5,J21&lt;='評価基準'!$B$7),"小型・軽め",IF(MAX(F21,G21)&lt;=5,"小型",IF(MAX(F21,G21)&lt;=6.5,"標準","大きめ参考"))))</x:f>
        <x:v>小型</x:v>
      </x:c>
      <x:c r="Q21" s="20" t="str">
        <x:f>IF(J21="","不明",IF(J21&lt;='評価基準'!$B$6,"非常に軽い",IF(J21&lt;='評価基準'!$B$7,"軽い",IF(J21&lt;='評価基準'!$B$8,"中程度","重め"))))</x:f>
        <x:v>中程度</x:v>
      </x:c>
      <x:c r="R21" s="24" t="n">
        <x:f>IF(OR(I21="",J21=""),"",MAX(0,ROUND(100-I21*'評価基準'!$B$2-J21*'評価基準'!$B$3-MAX(0,H21-'評価基準'!$B$5)*'評価基準'!$B$4,1)))</x:f>
        <x:v>47.6</x:v>
      </x:c>
      <x:c r="S21" s="20" t="str">
        <x:v>https://tech.alpsalpine.com/e/products/category/tact-switch/sub/02/series/sktd/</x:v>
      </x:c>
      <x:c r="T21" s="20" t="str">
        <x:v>https://www.digikey.jp/ja/products?keywords=SKTDLGE010</x:v>
      </x:c>
      <x:c r="U21" s="25" t="str"/>
      <x:c r="V21" s="20" t="str">
        <x:v>メーカー公式</x:v>
      </x:c>
      <x:c r="W21" s="20" t="str">
        <x:v>低（通常ライトアングル）</x:v>
      </x:c>
    </x:row>
    <x:row r="22">
      <x:c r="A22" s="20" t="str">
        <x:v>Würth Elektronik</x:v>
      </x:c>
      <x:c r="B22" s="20" t="str">
        <x:v>WS-TASU</x:v>
      </x:c>
      <x:c r="C22" s="21" t="str">
        <x:v>P/N 434331013822</x:v>
      </x:c>
      <x:c r="D22" s="20" t="str">
        <x:v>Active</x:v>
      </x:c>
      <x:c r="E22" s="20" t="str">
        <x:v>横押しSMD</x:v>
      </x:c>
      <x:c r="F22" s="22" t="n">
        <x:v>3.5</x:v>
      </x:c>
      <x:c r="G22" s="22" t="n">
        <x:v>2.9</x:v>
      </x:c>
      <x:c r="H22" s="22" t="n">
        <x:v>1.35</x:v>
      </x:c>
      <x:c r="I22" s="22" t="n">
        <x:f>IF(OR(F22="",G22=""),"",F22*G22)</x:f>
        <x:v>10.15</x:v>
      </x:c>
      <x:c r="J22" s="22" t="n">
        <x:v>2.157</x:v>
      </x:c>
      <x:c r="K22" s="22" t="n">
        <x:f>IF(J22="","",J22*101.971621)</x:f>
        <x:v>219.952786497</x:v>
      </x:c>
      <x:c r="L22" s="22" t="n">
        <x:v>0.2</x:v>
      </x:c>
      <x:c r="M22" s="23" t="n">
        <x:v>100000</x:v>
      </x:c>
      <x:c r="N22" s="20" t="str">
        <x:v>なし</x:v>
      </x:c>
      <x:c r="O22" s="20" t="str">
        <x:v>220gf</x:v>
      </x:c>
      <x:c r="P22" s="20" t="str">
        <x:f>IF(J22="","要確認",IF(AND(MAX(F22,G22)&lt;=5,J22&lt;='評価基準'!$B$7),"小型・軽め",IF(MAX(F22,G22)&lt;=5,"小型",IF(MAX(F22,G22)&lt;=6.5,"標準","大きめ参考"))))</x:f>
        <x:v>小型</x:v>
      </x:c>
      <x:c r="Q22" s="20" t="str">
        <x:f>IF(J22="","不明",IF(J22&lt;='評価基準'!$B$6,"非常に軽い",IF(J22&lt;='評価基準'!$B$7,"軽い",IF(J22&lt;='評価基準'!$B$8,"中程度","重め"))))</x:f>
        <x:v>中程度</x:v>
      </x:c>
      <x:c r="R22" s="24" t="n">
        <x:f>IF(OR(I22="",J22=""),"",MAX(0,ROUND(100-I22*'評価基準'!$B$2-J22*'評価基準'!$B$3-MAX(0,H22-'評価基準'!$B$5)*'評価基準'!$B$4,1)))</x:f>
        <x:v>47.2</x:v>
      </x:c>
      <x:c r="S22" s="20" t="str">
        <x:v>https://www.we-online.com/en/components/products/em/switches/tact_switches/ws-tasu</x:v>
      </x:c>
      <x:c r="T22" s="20" t="str">
        <x:v>https://www.digikey.jp/ja/products?keywords=434331013822</x:v>
      </x:c>
      <x:c r="U22" s="25" t="str"/>
      <x:c r="V22" s="20" t="str">
        <x:v>メーカー公式</x:v>
      </x:c>
      <x:c r="W22" s="20" t="str">
        <x:v>低（通常ライトアングル）</x:v>
      </x:c>
    </x:row>
    <x:row r="23">
      <x:c r="A23" s="20" t="str">
        <x:v>Alps Alpine</x:v>
      </x:c>
      <x:c r="B23" s="20" t="str">
        <x:v>SKRT</x:v>
      </x:c>
      <x:c r="C23" s="21" t="str">
        <x:v>SKRTLAE010</x:v>
      </x:c>
      <x:c r="D23" s="20" t="str">
        <x:v>標準品</x:v>
      </x:c>
      <x:c r="E23" s="20" t="str">
        <x:v>横押しSMD</x:v>
      </x:c>
      <x:c r="F23" s="22" t="n">
        <x:v>4.5</x:v>
      </x:c>
      <x:c r="G23" s="22" t="n">
        <x:v>3.4</x:v>
      </x:c>
      <x:c r="H23" s="22" t="n">
        <x:v>3.3</x:v>
      </x:c>
      <x:c r="I23" s="22" t="n">
        <x:f>IF(OR(F23="",G23=""),"",F23*G23)</x:f>
        <x:v>15.299999999999999</x:v>
      </x:c>
      <x:c r="J23" s="22" t="n">
        <x:v>1.6</x:v>
      </x:c>
      <x:c r="K23" s="22" t="n">
        <x:f>IF(J23="","",J23*101.971621)</x:f>
        <x:v>163.1545936</x:v>
      </x:c>
      <x:c r="L23" s="22" t="n">
        <x:v>0.2</x:v>
      </x:c>
      <x:c r="M23" s="23" t="n">
        <x:v>100000</x:v>
      </x:c>
      <x:c r="N23" s="20" t="str">
        <x:v>なし</x:v>
      </x:c>
      <x:c r="O23" s="20" t="str">
        <x:v>ガイドボスあり</x:v>
      </x:c>
      <x:c r="P23" s="20" t="str">
        <x:f>IF(J23="","要確認",IF(AND(MAX(F23,G23)&lt;=5,J23&lt;='評価基準'!$B$7),"小型・軽め",IF(MAX(F23,G23)&lt;=5,"小型",IF(MAX(F23,G23)&lt;=6.5,"標準","大きめ参考"))))</x:f>
        <x:v>小型・軽め</x:v>
      </x:c>
      <x:c r="Q23" s="20" t="str">
        <x:f>IF(J23="","不明",IF(J23&lt;='評価基準'!$B$6,"非常に軽い",IF(J23&lt;='評価基準'!$B$7,"軽い",IF(J23&lt;='評価基準'!$B$8,"中程度","重め"))))</x:f>
        <x:v>軽い</x:v>
      </x:c>
      <x:c r="R23" s="24" t="n">
        <x:f>IF(OR(I23="",J23=""),"",MAX(0,ROUND(100-I23*'評価基準'!$B$2-J23*'評価基準'!$B$3-MAX(0,H23-'評価基準'!$B$5)*'評価基準'!$B$4,1)))</x:f>
        <x:v>46.9</x:v>
      </x:c>
      <x:c r="S23" s="20" t="str">
        <x:v>https://tech.alpsalpine.com/e/products/category/tact-switch/sub/02/series/skrt/</x:v>
      </x:c>
      <x:c r="T23" s="20" t="str">
        <x:v>https://www.digikey.jp/ja/products?keywords=SKRTLAE010</x:v>
      </x:c>
      <x:c r="U23" s="25" t="str"/>
      <x:c r="V23" s="20" t="str">
        <x:v>メーカー公式</x:v>
      </x:c>
      <x:c r="W23" s="20" t="str">
        <x:v>低（通常ライトアングル）</x:v>
      </x:c>
    </x:row>
    <x:row r="24">
      <x:c r="A24" s="20" t="str">
        <x:v>Alps Alpine</x:v>
      </x:c>
      <x:c r="B24" s="20" t="str">
        <x:v>SKRT</x:v>
      </x:c>
      <x:c r="C24" s="21" t="str">
        <x:v>SKRTLBE010</x:v>
      </x:c>
      <x:c r="D24" s="20" t="str">
        <x:v>標準品</x:v>
      </x:c>
      <x:c r="E24" s="20" t="str">
        <x:v>横押しSMD</x:v>
      </x:c>
      <x:c r="F24" s="22" t="n">
        <x:v>4.5</x:v>
      </x:c>
      <x:c r="G24" s="22" t="n">
        <x:v>3.4</x:v>
      </x:c>
      <x:c r="H24" s="22" t="n">
        <x:v>3.3</x:v>
      </x:c>
      <x:c r="I24" s="22" t="n">
        <x:f>IF(OR(F24="",G24=""),"",F24*G24)</x:f>
        <x:v>15.299999999999999</x:v>
      </x:c>
      <x:c r="J24" s="22" t="n">
        <x:v>1.6</x:v>
      </x:c>
      <x:c r="K24" s="22" t="n">
        <x:f>IF(J24="","",J24*101.971621)</x:f>
        <x:v>163.1545936</x:v>
      </x:c>
      <x:c r="L24" s="22" t="n">
        <x:v>0.2</x:v>
      </x:c>
      <x:c r="M24" s="23" t="n">
        <x:v>100000</x:v>
      </x:c>
      <x:c r="N24" s="20" t="str">
        <x:v>なし</x:v>
      </x:c>
      <x:c r="O24" s="20" t="str">
        <x:v>ガイドボスなし</x:v>
      </x:c>
      <x:c r="P24" s="20" t="str">
        <x:f>IF(J24="","要確認",IF(AND(MAX(F24,G24)&lt;=5,J24&lt;='評価基準'!$B$7),"小型・軽め",IF(MAX(F24,G24)&lt;=5,"小型",IF(MAX(F24,G24)&lt;=6.5,"標準","大きめ参考"))))</x:f>
        <x:v>小型・軽め</x:v>
      </x:c>
      <x:c r="Q24" s="20" t="str">
        <x:f>IF(J24="","不明",IF(J24&lt;='評価基準'!$B$6,"非常に軽い",IF(J24&lt;='評価基準'!$B$7,"軽い",IF(J24&lt;='評価基準'!$B$8,"中程度","重め"))))</x:f>
        <x:v>軽い</x:v>
      </x:c>
      <x:c r="R24" s="24" t="n">
        <x:f>IF(OR(I24="",J24=""),"",MAX(0,ROUND(100-I24*'評価基準'!$B$2-J24*'評価基準'!$B$3-MAX(0,H24-'評価基準'!$B$5)*'評価基準'!$B$4,1)))</x:f>
        <x:v>46.9</x:v>
      </x:c>
      <x:c r="S24" s="20" t="str">
        <x:v>https://tech.alpsalpine.com/e/products/category/tact-switch/sub/02/series/skrt/</x:v>
      </x:c>
      <x:c r="T24" s="20" t="str">
        <x:v>https://www.digikey.jp/ja/products?keywords=SKRTLBE010</x:v>
      </x:c>
      <x:c r="U24" s="25" t="str"/>
      <x:c r="V24" s="20" t="str">
        <x:v>メーカー公式</x:v>
      </x:c>
      <x:c r="W24" s="20" t="str">
        <x:v>低（通常ライトアングル）</x:v>
      </x:c>
    </x:row>
    <x:row r="25">
      <x:c r="A25" s="20" t="str">
        <x:v>Alps Alpine</x:v>
      </x:c>
      <x:c r="B25" s="20" t="str">
        <x:v>SKSJ</x:v>
      </x:c>
      <x:c r="C25" s="21" t="str">
        <x:v>SKSJLEE010</x:v>
      </x:c>
      <x:c r="D25" s="20" t="str">
        <x:v>標準品</x:v>
      </x:c>
      <x:c r="E25" s="20" t="str">
        <x:v>横押しSMD／ハーフマウント</x:v>
      </x:c>
      <x:c r="F25" s="22" t="n">
        <x:v>4.8</x:v>
      </x:c>
      <x:c r="G25" s="22" t="n">
        <x:v>3.25</x:v>
      </x:c>
      <x:c r="H25" s="22" t="n">
        <x:v>3.3</x:v>
      </x:c>
      <x:c r="I25" s="22" t="n">
        <x:f>IF(OR(F25="",G25=""),"",F25*G25)</x:f>
        <x:v>15.6</x:v>
      </x:c>
      <x:c r="J25" s="22" t="n">
        <x:v>1.6</x:v>
      </x:c>
      <x:c r="K25" s="22" t="n">
        <x:f>IF(J25="","",J25*101.971621)</x:f>
        <x:v>163.1545936</x:v>
      </x:c>
      <x:c r="L25" s="22" t="n">
        <x:v>0.4</x:v>
      </x:c>
      <x:c r="M25" s="23" t="n">
        <x:v>1000000</x:v>
      </x:c>
      <x:c r="N25" s="20" t="str">
        <x:v>なし</x:v>
      </x:c>
      <x:c r="O25" s="20" t="str">
        <x:v>1.6N・長ストローク</x:v>
      </x:c>
      <x:c r="P25" s="20" t="str">
        <x:f>IF(J25="","要確認",IF(AND(MAX(F25,G25)&lt;=5,J25&lt;='評価基準'!$B$7),"小型・軽め",IF(MAX(F25,G25)&lt;=5,"小型",IF(MAX(F25,G25)&lt;=6.5,"標準","大きめ参考"))))</x:f>
        <x:v>小型・軽め</x:v>
      </x:c>
      <x:c r="Q25" s="20" t="str">
        <x:f>IF(J25="","不明",IF(J25&lt;='評価基準'!$B$6,"非常に軽い",IF(J25&lt;='評価基準'!$B$7,"軽い",IF(J25&lt;='評価基準'!$B$8,"中程度","重め"))))</x:f>
        <x:v>軽い</x:v>
      </x:c>
      <x:c r="R25" s="24" t="n">
        <x:f>IF(OR(I25="",J25=""),"",MAX(0,ROUND(100-I25*'評価基準'!$B$2-J25*'評価基準'!$B$3-MAX(0,H25-'評価基準'!$B$5)*'評価基準'!$B$4,1)))</x:f>
        <x:v>46.3</x:v>
      </x:c>
      <x:c r="S25" s="20" t="str">
        <x:v>https://tech.alpsalpine.com/e/products/category/tact-switch/sub/02/series/sksj/</x:v>
      </x:c>
      <x:c r="T25" s="20" t="str">
        <x:v>https://www.digikey.jp/ja/products?keywords=SKSJLEE010</x:v>
      </x:c>
      <x:c r="U25" s="25" t="str">
        <x:v>軽さと寿命のバランスが良い。</x:v>
      </x:c>
      <x:c r="V25" s="20" t="str">
        <x:v>メーカー公式</x:v>
      </x:c>
      <x:c r="W25" s="20" t="str">
        <x:v>高（ハーフマウント）</x:v>
      </x:c>
    </x:row>
    <x:row r="26">
      <x:c r="A26" s="20" t="str">
        <x:v>Würth Elektronik</x:v>
      </x:c>
      <x:c r="B26" s="20" t="str">
        <x:v>WS-TASU</x:v>
      </x:c>
      <x:c r="C26" s="21" t="str">
        <x:v>P/N 434351045816</x:v>
      </x:c>
      <x:c r="D26" s="20" t="str">
        <x:v>Active</x:v>
      </x:c>
      <x:c r="E26" s="20" t="str">
        <x:v>横押しSMD</x:v>
      </x:c>
      <x:c r="F26" s="22" t="n">
        <x:v>4.7</x:v>
      </x:c>
      <x:c r="G26" s="22" t="n">
        <x:v>3.5</x:v>
      </x:c>
      <x:c r="H26" s="22" t="n">
        <x:v>1.65</x:v>
      </x:c>
      <x:c r="I26" s="22" t="n">
        <x:f>IF(OR(F26="",G26=""),"",F26*G26)</x:f>
        <x:v>16.45</x:v>
      </x:c>
      <x:c r="J26" s="22" t="n">
        <x:v>1.569</x:v>
      </x:c>
      <x:c r="K26" s="22" t="n">
        <x:f>IF(J26="","",J26*101.971621)</x:f>
        <x:v>159.993473349</x:v>
      </x:c>
      <x:c r="L26" s="22" t="n">
        <x:v>0.2</x:v>
      </x:c>
      <x:c r="M26" s="23" t="n">
        <x:v>200000</x:v>
      </x:c>
      <x:c r="N26" s="20" t="str">
        <x:v>なし</x:v>
      </x:c>
      <x:c r="O26" s="20" t="str">
        <x:v>160gf・白</x:v>
      </x:c>
      <x:c r="P26" s="20" t="str">
        <x:f>IF(J26="","要確認",IF(AND(MAX(F26,G26)&lt;=5,J26&lt;='評価基準'!$B$7),"小型・軽め",IF(MAX(F26,G26)&lt;=5,"小型",IF(MAX(F26,G26)&lt;=6.5,"標準","大きめ参考"))))</x:f>
        <x:v>小型・軽め</x:v>
      </x:c>
      <x:c r="Q26" s="20" t="str">
        <x:f>IF(J26="","不明",IF(J26&lt;='評価基準'!$B$6,"非常に軽い",IF(J26&lt;='評価基準'!$B$7,"軽い",IF(J26&lt;='評価基準'!$B$8,"中程度","重め"))))</x:f>
        <x:v>軽い</x:v>
      </x:c>
      <x:c r="R26" s="24" t="n">
        <x:f>IF(OR(I26="",J26=""),"",MAX(0,ROUND(100-I26*'評価基準'!$B$2-J26*'評価基準'!$B$3-MAX(0,H26-'評価基準'!$B$5)*'評価基準'!$B$4,1)))</x:f>
        <x:v>45.3</x:v>
      </x:c>
      <x:c r="S26" s="20" t="str">
        <x:v>https://www.we-online.com/en/components/products/em/switches/tact_switches/ws-tasu</x:v>
      </x:c>
      <x:c r="T26" s="20" t="str">
        <x:v>https://www.digikey.jp/ja/products?keywords=434351045816</x:v>
      </x:c>
      <x:c r="U26" s="25" t="str"/>
      <x:c r="V26" s="20" t="str">
        <x:v>メーカー公式</x:v>
      </x:c>
      <x:c r="W26" s="20" t="str">
        <x:v>低（通常ライトアングル）</x:v>
      </x:c>
    </x:row>
    <x:row r="27">
      <x:c r="A27" s="20" t="str">
        <x:v>Würth Elektronik</x:v>
      </x:c>
      <x:c r="B27" s="20" t="str">
        <x:v>WS-TASU</x:v>
      </x:c>
      <x:c r="C27" s="21" t="str">
        <x:v>P/N 434353045816</x:v>
      </x:c>
      <x:c r="D27" s="20" t="str">
        <x:v>Active</x:v>
      </x:c>
      <x:c r="E27" s="20" t="str">
        <x:v>横押しSMD／J曲げ</x:v>
      </x:c>
      <x:c r="F27" s="22" t="n">
        <x:v>4.7</x:v>
      </x:c>
      <x:c r="G27" s="22" t="n">
        <x:v>3.5</x:v>
      </x:c>
      <x:c r="H27" s="22" t="n">
        <x:v>1.65</x:v>
      </x:c>
      <x:c r="I27" s="22" t="n">
        <x:f>IF(OR(F27="",G27=""),"",F27*G27)</x:f>
        <x:v>16.45</x:v>
      </x:c>
      <x:c r="J27" s="22" t="n">
        <x:v>1.569</x:v>
      </x:c>
      <x:c r="K27" s="22" t="n">
        <x:f>IF(J27="","",J27*101.971621)</x:f>
        <x:v>159.993473349</x:v>
      </x:c>
      <x:c r="L27" s="22" t="n">
        <x:v>0.2</x:v>
      </x:c>
      <x:c r="M27" s="23" t="n">
        <x:v>200000</x:v>
      </x:c>
      <x:c r="N27" s="20" t="str">
        <x:v>なし</x:v>
      </x:c>
      <x:c r="O27" s="20" t="str">
        <x:v>160gf・白</x:v>
      </x:c>
      <x:c r="P27" s="20" t="str">
        <x:f>IF(J27="","要確認",IF(AND(MAX(F27,G27)&lt;=5,J27&lt;='評価基準'!$B$7),"小型・軽め",IF(MAX(F27,G27)&lt;=5,"小型",IF(MAX(F27,G27)&lt;=6.5,"標準","大きめ参考"))))</x:f>
        <x:v>小型・軽め</x:v>
      </x:c>
      <x:c r="Q27" s="20" t="str">
        <x:f>IF(J27="","不明",IF(J27&lt;='評価基準'!$B$6,"非常に軽い",IF(J27&lt;='評価基準'!$B$7,"軽い",IF(J27&lt;='評価基準'!$B$8,"中程度","重め"))))</x:f>
        <x:v>軽い</x:v>
      </x:c>
      <x:c r="R27" s="24" t="n">
        <x:f>IF(OR(I27="",J27=""),"",MAX(0,ROUND(100-I27*'評価基準'!$B$2-J27*'評価基準'!$B$3-MAX(0,H27-'評価基準'!$B$5)*'評価基準'!$B$4,1)))</x:f>
        <x:v>45.3</x:v>
      </x:c>
      <x:c r="S27" s="20" t="str">
        <x:v>https://www.we-online.com/en/components/products/em/switches/tact_switches/ws-tasu</x:v>
      </x:c>
      <x:c r="T27" s="20" t="str">
        <x:v>https://www.digikey.jp/ja/products?keywords=434353045816</x:v>
      </x:c>
      <x:c r="U27" s="25" t="str"/>
      <x:c r="V27" s="20" t="str">
        <x:v>メーカー公式</x:v>
      </x:c>
      <x:c r="W27" s="20" t="str">
        <x:v>低（通常ライトアングル）</x:v>
      </x:c>
    </x:row>
    <x:row r="28">
      <x:c r="A28" s="20" t="str">
        <x:v>Würth Elektronik</x:v>
      </x:c>
      <x:c r="B28" s="20" t="str">
        <x:v>WS-TASU</x:v>
      </x:c>
      <x:c r="C28" s="21" t="str">
        <x:v>P/N 436351045816</x:v>
      </x:c>
      <x:c r="D28" s="20" t="str">
        <x:v>Active</x:v>
      </x:c>
      <x:c r="E28" s="20" t="str">
        <x:v>横押しSMD</x:v>
      </x:c>
      <x:c r="F28" s="22" t="n">
        <x:v>4.7</x:v>
      </x:c>
      <x:c r="G28" s="22" t="n">
        <x:v>3.5</x:v>
      </x:c>
      <x:c r="H28" s="22" t="n">
        <x:v>1.65</x:v>
      </x:c>
      <x:c r="I28" s="22" t="n">
        <x:f>IF(OR(F28="",G28=""),"",F28*G28)</x:f>
        <x:v>16.45</x:v>
      </x:c>
      <x:c r="J28" s="22" t="n">
        <x:v>1.569</x:v>
      </x:c>
      <x:c r="K28" s="22" t="n">
        <x:f>IF(J28="","",J28*101.971621)</x:f>
        <x:v>159.993473349</x:v>
      </x:c>
      <x:c r="L28" s="22" t="n">
        <x:v>0.2</x:v>
      </x:c>
      <x:c r="M28" s="23" t="n">
        <x:v>200000</x:v>
      </x:c>
      <x:c r="N28" s="20" t="str">
        <x:v>なし</x:v>
      </x:c>
      <x:c r="O28" s="20" t="str">
        <x:v>ボスあり・160gf</x:v>
      </x:c>
      <x:c r="P28" s="20" t="str">
        <x:f>IF(J28="","要確認",IF(AND(MAX(F28,G28)&lt;=5,J28&lt;='評価基準'!$B$7),"小型・軽め",IF(MAX(F28,G28)&lt;=5,"小型",IF(MAX(F28,G28)&lt;=6.5,"標準","大きめ参考"))))</x:f>
        <x:v>小型・軽め</x:v>
      </x:c>
      <x:c r="Q28" s="20" t="str">
        <x:f>IF(J28="","不明",IF(J28&lt;='評価基準'!$B$6,"非常に軽い",IF(J28&lt;='評価基準'!$B$7,"軽い",IF(J28&lt;='評価基準'!$B$8,"中程度","重め"))))</x:f>
        <x:v>軽い</x:v>
      </x:c>
      <x:c r="R28" s="24" t="n">
        <x:f>IF(OR(I28="",J28=""),"",MAX(0,ROUND(100-I28*'評価基準'!$B$2-J28*'評価基準'!$B$3-MAX(0,H28-'評価基準'!$B$5)*'評価基準'!$B$4,1)))</x:f>
        <x:v>45.3</x:v>
      </x:c>
      <x:c r="S28" s="20" t="str">
        <x:v>https://www.we-online.com/en/components/products/em/switches/tact_switches/ws-tasu</x:v>
      </x:c>
      <x:c r="T28" s="20" t="str">
        <x:v>https://www.digikey.jp/ja/products?keywords=436351045816</x:v>
      </x:c>
      <x:c r="U28" s="25" t="str"/>
      <x:c r="V28" s="20" t="str">
        <x:v>メーカー公式</x:v>
      </x:c>
      <x:c r="W28" s="20" t="str">
        <x:v>低（通常ライトアングル）</x:v>
      </x:c>
    </x:row>
    <x:row r="29">
      <x:c r="A29" s="20" t="str">
        <x:v>Würth Elektronik</x:v>
      </x:c>
      <x:c r="B29" s="20" t="str">
        <x:v>WS-TASU</x:v>
      </x:c>
      <x:c r="C29" s="21" t="str">
        <x:v>P/N 436353045816</x:v>
      </x:c>
      <x:c r="D29" s="20" t="str">
        <x:v>Active</x:v>
      </x:c>
      <x:c r="E29" s="20" t="str">
        <x:v>横押しSMD／J曲げ</x:v>
      </x:c>
      <x:c r="F29" s="22" t="n">
        <x:v>4.7</x:v>
      </x:c>
      <x:c r="G29" s="22" t="n">
        <x:v>3.5</x:v>
      </x:c>
      <x:c r="H29" s="22" t="n">
        <x:v>1.65</x:v>
      </x:c>
      <x:c r="I29" s="22" t="n">
        <x:f>IF(OR(F29="",G29=""),"",F29*G29)</x:f>
        <x:v>16.45</x:v>
      </x:c>
      <x:c r="J29" s="22" t="n">
        <x:v>1.569</x:v>
      </x:c>
      <x:c r="K29" s="22" t="n">
        <x:f>IF(J29="","",J29*101.971621)</x:f>
        <x:v>159.993473349</x:v>
      </x:c>
      <x:c r="L29" s="22" t="n">
        <x:v>0.2</x:v>
      </x:c>
      <x:c r="M29" s="23" t="n">
        <x:v>200000</x:v>
      </x:c>
      <x:c r="N29" s="20" t="str">
        <x:v>なし</x:v>
      </x:c>
      <x:c r="O29" s="20" t="str">
        <x:v>ボスあり・160gf</x:v>
      </x:c>
      <x:c r="P29" s="20" t="str">
        <x:f>IF(J29="","要確認",IF(AND(MAX(F29,G29)&lt;=5,J29&lt;='評価基準'!$B$7),"小型・軽め",IF(MAX(F29,G29)&lt;=5,"小型",IF(MAX(F29,G29)&lt;=6.5,"標準","大きめ参考"))))</x:f>
        <x:v>小型・軽め</x:v>
      </x:c>
      <x:c r="Q29" s="20" t="str">
        <x:f>IF(J29="","不明",IF(J29&lt;='評価基準'!$B$6,"非常に軽い",IF(J29&lt;='評価基準'!$B$7,"軽い",IF(J29&lt;='評価基準'!$B$8,"中程度","重め"))))</x:f>
        <x:v>軽い</x:v>
      </x:c>
      <x:c r="R29" s="24" t="n">
        <x:f>IF(OR(I29="",J29=""),"",MAX(0,ROUND(100-I29*'評価基準'!$B$2-J29*'評価基準'!$B$3-MAX(0,H29-'評価基準'!$B$5)*'評価基準'!$B$4,1)))</x:f>
        <x:v>45.3</x:v>
      </x:c>
      <x:c r="S29" s="20" t="str">
        <x:v>https://www.we-online.com/en/components/products/em/switches/tact_switches/ws-tasu</x:v>
      </x:c>
      <x:c r="T29" s="20" t="str">
        <x:v>https://www.digikey.jp/ja/products?keywords=436353045816</x:v>
      </x:c>
      <x:c r="U29" s="25" t="str"/>
      <x:c r="V29" s="20" t="str">
        <x:v>メーカー公式</x:v>
      </x:c>
      <x:c r="W29" s="20" t="str">
        <x:v>低（通常ライトアングル）</x:v>
      </x:c>
    </x:row>
    <x:row r="30">
      <x:c r="A30" s="20" t="str">
        <x:v>E-Switch</x:v>
      </x:c>
      <x:c r="B30" s="20" t="str">
        <x:v>TL3330</x:v>
      </x:c>
      <x:c r="C30" s="21" t="str">
        <x:v>TL3330AF130QG</x:v>
      </x:c>
      <x:c r="D30" s="20" t="str">
        <x:v>共通構成</x:v>
      </x:c>
      <x:c r="E30" s="20" t="str">
        <x:v>横押し／ライトアングルSMT</x:v>
      </x:c>
      <x:c r="F30" s="22" t="n">
        <x:v>7.8</x:v>
      </x:c>
      <x:c r="G30" s="22" t="n">
        <x:v>2.5</x:v>
      </x:c>
      <x:c r="H30" s="22" t="n">
        <x:v>3.5</x:v>
      </x:c>
      <x:c r="I30" s="22" t="n">
        <x:f>IF(OR(F30="",G30=""),"",F30*G30)</x:f>
        <x:v>19.5</x:v>
      </x:c>
      <x:c r="J30" s="22" t="n">
        <x:v>1.275</x:v>
      </x:c>
      <x:c r="K30" s="22" t="n">
        <x:f>IF(J30="","",J30*101.971621)</x:f>
        <x:v>130.01381677499998</x:v>
      </x:c>
      <x:c r="L30" s="22" t="n">
        <x:v>0.25</x:v>
      </x:c>
      <x:c r="M30" s="23" t="n">
        <x:v>50000</x:v>
      </x:c>
      <x:c r="N30" s="20" t="str">
        <x:v>なし</x:v>
      </x:c>
      <x:c r="O30" s="20" t="str">
        <x:v>130gf</x:v>
      </x:c>
      <x:c r="P30" s="20" t="str">
        <x:f>IF(J30="","要確認",IF(AND(MAX(F30,G30)&lt;=5,J30&lt;='評価基準'!$B$7),"小型・軽め",IF(MAX(F30,G30)&lt;=5,"小型",IF(MAX(F30,G30)&lt;=6.5,"標準","大きめ参考"))))</x:f>
        <x:v>大きめ参考</x:v>
      </x:c>
      <x:c r="Q30" s="20" t="str">
        <x:f>IF(J30="","不明",IF(J30&lt;='評価基準'!$B$6,"非常に軽い",IF(J30&lt;='評価基準'!$B$7,"軽い",IF(J30&lt;='評価基準'!$B$8,"中程度","重め"))))</x:f>
        <x:v>軽い</x:v>
      </x:c>
      <x:c r="R30" s="24" t="n">
        <x:f>IF(OR(I30="",J30=""),"",MAX(0,ROUND(100-I30*'評価基準'!$B$2-J30*'評価基準'!$B$3-MAX(0,H30-'評価基準'!$B$5)*'評価基準'!$B$4,1)))</x:f>
        <x:v>44.5</x:v>
      </x:c>
      <x:c r="S30" s="20" t="str">
        <x:v>https://www.e-switch.com/product/tl3330-series-smt-right-angle-tactile-switch/</x:v>
      </x:c>
      <x:c r="T30" s="20" t="str">
        <x:v>https://www.digikey.jp/ja/products?keywords=TL3330AF130QG</x:v>
      </x:c>
      <x:c r="U30" s="25" t="str"/>
      <x:c r="V30" s="20" t="str">
        <x:v>メーカー公式</x:v>
      </x:c>
      <x:c r="W30" s="20" t="str">
        <x:v>低（通常ライトアングル）</x:v>
      </x:c>
    </x:row>
    <x:row r="31">
      <x:c r="A31" s="20" t="str">
        <x:v>Alps Alpine</x:v>
      </x:c>
      <x:c r="B31" s="20" t="str">
        <x:v>SKSL</x:v>
      </x:c>
      <x:c r="C31" s="21" t="str">
        <x:v>SKSLLBE010</x:v>
      </x:c>
      <x:c r="D31" s="20" t="str">
        <x:v>標準品</x:v>
      </x:c>
      <x:c r="E31" s="20" t="str">
        <x:v>横押しSMD／ハーフマウント</x:v>
      </x:c>
      <x:c r="F31" s="22" t="n">
        <x:v>4.5</x:v>
      </x:c>
      <x:c r="G31" s="22" t="n">
        <x:v>2.6</x:v>
      </x:c>
      <x:c r="H31" s="22" t="n">
        <x:v>2.2</x:v>
      </x:c>
      <x:c r="I31" s="22" t="n">
        <x:f>IF(OR(F31="",G31=""),"",F31*G31)</x:f>
        <x:v>11.700000000000001</x:v>
      </x:c>
      <x:c r="J31" s="22" t="n">
        <x:v>2.2</x:v>
      </x:c>
      <x:c r="K31" s="22" t="n">
        <x:f>IF(J31="","",J31*101.971621)</x:f>
        <x:v>224.33756620000003</x:v>
      </x:c>
      <x:c r="L31" s="22" t="n">
        <x:v>0.15</x:v>
      </x:c>
      <x:c r="M31" s="23" t="n">
        <x:v>600000</x:v>
      </x:c>
      <x:c r="N31" s="20" t="str">
        <x:v>なし</x:v>
      </x:c>
      <x:c r="O31" s="20" t="str">
        <x:v>2.2N</x:v>
      </x:c>
      <x:c r="P31" s="20" t="str">
        <x:f>IF(J31="","要確認",IF(AND(MAX(F31,G31)&lt;=5,J31&lt;='評価基準'!$B$7),"小型・軽め",IF(MAX(F31,G31)&lt;=5,"小型",IF(MAX(F31,G31)&lt;=6.5,"標準","大きめ参考"))))</x:f>
        <x:v>小型</x:v>
      </x:c>
      <x:c r="Q31" s="20" t="str">
        <x:f>IF(J31="","不明",IF(J31&lt;='評価基準'!$B$6,"非常に軽い",IF(J31&lt;='評価基準'!$B$7,"軽い",IF(J31&lt;='評価基準'!$B$8,"中程度","重め"))))</x:f>
        <x:v>中程度</x:v>
      </x:c>
      <x:c r="R31" s="24" t="n">
        <x:f>IF(OR(I31="",J31=""),"",MAX(0,ROUND(100-I31*'評価基準'!$B$2-J31*'評価基準'!$B$3-MAX(0,H31-'評価基準'!$B$5)*'評価基準'!$B$4,1)))</x:f>
        <x:v>43.7</x:v>
      </x:c>
      <x:c r="S31" s="20" t="str">
        <x:v>https://tech.alpsalpine.com/e/products/category/tact-switch/sub/02/series/sksl/</x:v>
      </x:c>
      <x:c r="T31" s="20" t="str">
        <x:v>https://www.digikey.jp/ja/products?keywords=SKSLLBE010</x:v>
      </x:c>
      <x:c r="U31" s="25" t="str"/>
      <x:c r="V31" s="20" t="str">
        <x:v>メーカー公式</x:v>
      </x:c>
      <x:c r="W31" s="20" t="str">
        <x:v>高（ハーフマウント）</x:v>
      </x:c>
    </x:row>
    <x:row r="32">
      <x:c r="A32" s="20" t="str">
        <x:v>Alps Alpine</x:v>
      </x:c>
      <x:c r="B32" s="20" t="str">
        <x:v>SKSC</x:v>
      </x:c>
      <x:c r="C32" s="21" t="str">
        <x:v>SKSCLAE010</x:v>
      </x:c>
      <x:c r="D32" s="20" t="str">
        <x:v>標準品</x:v>
      </x:c>
      <x:c r="E32" s="20" t="str">
        <x:v>横押しSMD／ハーフマウント</x:v>
      </x:c>
      <x:c r="F32" s="22" t="n">
        <x:v>3.5</x:v>
      </x:c>
      <x:c r="G32" s="22" t="n">
        <x:v>3.55</x:v>
      </x:c>
      <x:c r="H32" s="22" t="n">
        <x:v>1.25</x:v>
      </x:c>
      <x:c r="I32" s="22" t="n">
        <x:f>IF(OR(F32="",G32=""),"",F32*G32)</x:f>
        <x:v>12.424999999999999</x:v>
      </x:c>
      <x:c r="J32" s="22" t="n">
        <x:v>2.2</x:v>
      </x:c>
      <x:c r="K32" s="22" t="n">
        <x:f>IF(J32="","",J32*101.971621)</x:f>
        <x:v>224.33756620000003</x:v>
      </x:c>
      <x:c r="L32" s="22" t="n">
        <x:v>0.2</x:v>
      </x:c>
      <x:c r="M32" s="23" t="n">
        <x:v>100000</x:v>
      </x:c>
      <x:c r="N32" s="20" t="str">
        <x:v>なし</x:v>
      </x:c>
      <x:c r="O32" s="20" t="str">
        <x:v>接地端子なし・ボスなし</x:v>
      </x:c>
      <x:c r="P32" s="20" t="str">
        <x:f>IF(J32="","要確認",IF(AND(MAX(F32,G32)&lt;=5,J32&lt;='評価基準'!$B$7),"小型・軽め",IF(MAX(F32,G32)&lt;=5,"小型",IF(MAX(F32,G32)&lt;=6.5,"標準","大きめ参考"))))</x:f>
        <x:v>小型</x:v>
      </x:c>
      <x:c r="Q32" s="20" t="str">
        <x:f>IF(J32="","不明",IF(J32&lt;='評価基準'!$B$6,"非常に軽い",IF(J32&lt;='評価基準'!$B$7,"軽い",IF(J32&lt;='評価基準'!$B$8,"中程度","重め"))))</x:f>
        <x:v>中程度</x:v>
      </x:c>
      <x:c r="R32" s="24" t="n">
        <x:f>IF(OR(I32="",J32=""),"",MAX(0,ROUND(100-I32*'評価基準'!$B$2-J32*'評価基準'!$B$3-MAX(0,H32-'評価基準'!$B$5)*'評価基準'!$B$4,1)))</x:f>
        <x:v>42.4</x:v>
      </x:c>
      <x:c r="S32" s="20" t="str">
        <x:v>https://tech.alpsalpine.com/e/products/category/tact-switch/sub/02/series/sksc/</x:v>
      </x:c>
      <x:c r="T32" s="20" t="str">
        <x:v>https://www.digikey.jp/ja/products?keywords=SKSCLAE010</x:v>
      </x:c>
      <x:c r="U32" s="25" t="str"/>
      <x:c r="V32" s="20" t="str">
        <x:v>メーカー公式</x:v>
      </x:c>
      <x:c r="W32" s="20" t="str">
        <x:v>高（ハーフマウント）</x:v>
      </x:c>
    </x:row>
    <x:row r="33">
      <x:c r="A33" s="20" t="str">
        <x:v>Alps Alpine</x:v>
      </x:c>
      <x:c r="B33" s="20" t="str">
        <x:v>SKSC</x:v>
      </x:c>
      <x:c r="C33" s="21" t="str">
        <x:v>SKSCLBE010</x:v>
      </x:c>
      <x:c r="D33" s="20" t="str">
        <x:v>標準品</x:v>
      </x:c>
      <x:c r="E33" s="20" t="str">
        <x:v>横押しSMD／ハーフマウント</x:v>
      </x:c>
      <x:c r="F33" s="22" t="n">
        <x:v>3.5</x:v>
      </x:c>
      <x:c r="G33" s="22" t="n">
        <x:v>3.55</x:v>
      </x:c>
      <x:c r="H33" s="22" t="n">
        <x:v>1.25</x:v>
      </x:c>
      <x:c r="I33" s="22" t="n">
        <x:f>IF(OR(F33="",G33=""),"",F33*G33)</x:f>
        <x:v>12.424999999999999</x:v>
      </x:c>
      <x:c r="J33" s="22" t="n">
        <x:v>2.2</x:v>
      </x:c>
      <x:c r="K33" s="22" t="n">
        <x:f>IF(J33="","",J33*101.971621)</x:f>
        <x:v>224.33756620000003</x:v>
      </x:c>
      <x:c r="L33" s="22" t="n">
        <x:v>0.2</x:v>
      </x:c>
      <x:c r="M33" s="23" t="n">
        <x:v>100000</x:v>
      </x:c>
      <x:c r="N33" s="20" t="str">
        <x:v>なし</x:v>
      </x:c>
      <x:c r="O33" s="20" t="str">
        <x:v>接地端子なし・ボスあり</x:v>
      </x:c>
      <x:c r="P33" s="20" t="str">
        <x:f>IF(J33="","要確認",IF(AND(MAX(F33,G33)&lt;=5,J33&lt;='評価基準'!$B$7),"小型・軽め",IF(MAX(F33,G33)&lt;=5,"小型",IF(MAX(F33,G33)&lt;=6.5,"標準","大きめ参考"))))</x:f>
        <x:v>小型</x:v>
      </x:c>
      <x:c r="Q33" s="20" t="str">
        <x:f>IF(J33="","不明",IF(J33&lt;='評価基準'!$B$6,"非常に軽い",IF(J33&lt;='評価基準'!$B$7,"軽い",IF(J33&lt;='評価基準'!$B$8,"中程度","重め"))))</x:f>
        <x:v>中程度</x:v>
      </x:c>
      <x:c r="R33" s="24" t="n">
        <x:f>IF(OR(I33="",J33=""),"",MAX(0,ROUND(100-I33*'評価基準'!$B$2-J33*'評価基準'!$B$3-MAX(0,H33-'評価基準'!$B$5)*'評価基準'!$B$4,1)))</x:f>
        <x:v>42.4</x:v>
      </x:c>
      <x:c r="S33" s="20" t="str">
        <x:v>https://tech.alpsalpine.com/e/products/category/tact-switch/sub/02/series/sksc/</x:v>
      </x:c>
      <x:c r="T33" s="20" t="str">
        <x:v>https://www.digikey.jp/ja/products?keywords=SKSCLBE010</x:v>
      </x:c>
      <x:c r="U33" s="25" t="str"/>
      <x:c r="V33" s="20" t="str">
        <x:v>メーカー公式</x:v>
      </x:c>
      <x:c r="W33" s="20" t="str">
        <x:v>高（ハーフマウント）</x:v>
      </x:c>
    </x:row>
    <x:row r="34">
      <x:c r="A34" s="20" t="str">
        <x:v>Alps Alpine</x:v>
      </x:c>
      <x:c r="B34" s="20" t="str">
        <x:v>SKSC</x:v>
      </x:c>
      <x:c r="C34" s="21" t="str">
        <x:v>SKSCPAE010</x:v>
      </x:c>
      <x:c r="D34" s="20" t="str">
        <x:v>標準品</x:v>
      </x:c>
      <x:c r="E34" s="20" t="str">
        <x:v>横押しSMD／ハーフマウント</x:v>
      </x:c>
      <x:c r="F34" s="22" t="n">
        <x:v>3.5</x:v>
      </x:c>
      <x:c r="G34" s="22" t="n">
        <x:v>3.55</x:v>
      </x:c>
      <x:c r="H34" s="22" t="n">
        <x:v>1.25</x:v>
      </x:c>
      <x:c r="I34" s="22" t="n">
        <x:f>IF(OR(F34="",G34=""),"",F34*G34)</x:f>
        <x:v>12.424999999999999</x:v>
      </x:c>
      <x:c r="J34" s="22" t="n">
        <x:v>2.2</x:v>
      </x:c>
      <x:c r="K34" s="22" t="n">
        <x:f>IF(J34="","",J34*101.971621)</x:f>
        <x:v>224.33756620000003</x:v>
      </x:c>
      <x:c r="L34" s="22" t="n">
        <x:v>0.2</x:v>
      </x:c>
      <x:c r="M34" s="23" t="n">
        <x:v>100000</x:v>
      </x:c>
      <x:c r="N34" s="20" t="str">
        <x:v>なし</x:v>
      </x:c>
      <x:c r="O34" s="20" t="str">
        <x:v>接地端子あり・ボスなし</x:v>
      </x:c>
      <x:c r="P34" s="20" t="str">
        <x:f>IF(J34="","要確認",IF(AND(MAX(F34,G34)&lt;=5,J34&lt;='評価基準'!$B$7),"小型・軽め",IF(MAX(F34,G34)&lt;=5,"小型",IF(MAX(F34,G34)&lt;=6.5,"標準","大きめ参考"))))</x:f>
        <x:v>小型</x:v>
      </x:c>
      <x:c r="Q34" s="20" t="str">
        <x:f>IF(J34="","不明",IF(J34&lt;='評価基準'!$B$6,"非常に軽い",IF(J34&lt;='評価基準'!$B$7,"軽い",IF(J34&lt;='評価基準'!$B$8,"中程度","重め"))))</x:f>
        <x:v>中程度</x:v>
      </x:c>
      <x:c r="R34" s="24" t="n">
        <x:f>IF(OR(I34="",J34=""),"",MAX(0,ROUND(100-I34*'評価基準'!$B$2-J34*'評価基準'!$B$3-MAX(0,H34-'評価基準'!$B$5)*'評価基準'!$B$4,1)))</x:f>
        <x:v>42.4</x:v>
      </x:c>
      <x:c r="S34" s="20" t="str">
        <x:v>https://tech.alpsalpine.com/e/products/category/tact-switch/sub/02/series/sksc/</x:v>
      </x:c>
      <x:c r="T34" s="20" t="str">
        <x:v>https://www.digikey.jp/ja/products?keywords=SKSCPAE010</x:v>
      </x:c>
      <x:c r="U34" s="25" t="str"/>
      <x:c r="V34" s="20" t="str">
        <x:v>メーカー公式</x:v>
      </x:c>
      <x:c r="W34" s="20" t="str">
        <x:v>高（ハーフマウント）</x:v>
      </x:c>
    </x:row>
    <x:row r="35">
      <x:c r="A35" s="20" t="str">
        <x:v>Alps Alpine</x:v>
      </x:c>
      <x:c r="B35" s="20" t="str">
        <x:v>SKSC</x:v>
      </x:c>
      <x:c r="C35" s="21" t="str">
        <x:v>SKSCPBE010</x:v>
      </x:c>
      <x:c r="D35" s="20" t="str">
        <x:v>標準品</x:v>
      </x:c>
      <x:c r="E35" s="20" t="str">
        <x:v>横押しSMD／ハーフマウント</x:v>
      </x:c>
      <x:c r="F35" s="22" t="n">
        <x:v>3.5</x:v>
      </x:c>
      <x:c r="G35" s="22" t="n">
        <x:v>3.55</x:v>
      </x:c>
      <x:c r="H35" s="22" t="n">
        <x:v>1.25</x:v>
      </x:c>
      <x:c r="I35" s="22" t="n">
        <x:f>IF(OR(F35="",G35=""),"",F35*G35)</x:f>
        <x:v>12.424999999999999</x:v>
      </x:c>
      <x:c r="J35" s="22" t="n">
        <x:v>2.2</x:v>
      </x:c>
      <x:c r="K35" s="22" t="n">
        <x:f>IF(J35="","",J35*101.971621)</x:f>
        <x:v>224.33756620000003</x:v>
      </x:c>
      <x:c r="L35" s="22" t="n">
        <x:v>0.2</x:v>
      </x:c>
      <x:c r="M35" s="23" t="n">
        <x:v>100000</x:v>
      </x:c>
      <x:c r="N35" s="20" t="str">
        <x:v>なし</x:v>
      </x:c>
      <x:c r="O35" s="20" t="str">
        <x:v>接地端子あり・ボスあり</x:v>
      </x:c>
      <x:c r="P35" s="20" t="str">
        <x:f>IF(J35="","要確認",IF(AND(MAX(F35,G35)&lt;=5,J35&lt;='評価基準'!$B$7),"小型・軽め",IF(MAX(F35,G35)&lt;=5,"小型",IF(MAX(F35,G35)&lt;=6.5,"標準","大きめ参考"))))</x:f>
        <x:v>小型</x:v>
      </x:c>
      <x:c r="Q35" s="20" t="str">
        <x:f>IF(J35="","不明",IF(J35&lt;='評価基準'!$B$6,"非常に軽い",IF(J35&lt;='評価基準'!$B$7,"軽い",IF(J35&lt;='評価基準'!$B$8,"中程度","重め"))))</x:f>
        <x:v>中程度</x:v>
      </x:c>
      <x:c r="R35" s="24" t="n">
        <x:f>IF(OR(I35="",J35=""),"",MAX(0,ROUND(100-I35*'評価基準'!$B$2-J35*'評価基準'!$B$3-MAX(0,H35-'評価基準'!$B$5)*'評価基準'!$B$4,1)))</x:f>
        <x:v>42.4</x:v>
      </x:c>
      <x:c r="S35" s="20" t="str">
        <x:v>https://tech.alpsalpine.com/e/products/category/tact-switch/sub/02/series/sksc/</x:v>
      </x:c>
      <x:c r="T35" s="20" t="str">
        <x:v>https://www.digikey.jp/ja/products?keywords=SKSCPBE010</x:v>
      </x:c>
      <x:c r="U35" s="25" t="str"/>
      <x:c r="V35" s="20" t="str">
        <x:v>メーカー公式</x:v>
      </x:c>
      <x:c r="W35" s="20" t="str">
        <x:v>高（ハーフマウント）</x:v>
      </x:c>
    </x:row>
    <x:row r="36">
      <x:c r="A36" s="20" t="str">
        <x:v>Panasonic Industry</x:v>
      </x:c>
      <x:c r="B36" s="20" t="str">
        <x:v>EVQP7</x:v>
      </x:c>
      <x:c r="C36" s="21" t="str">
        <x:v>EVQP7A01P</x:v>
      </x:c>
      <x:c r="D36" s="20" t="str">
        <x:v>掲載中</x:v>
      </x:c>
      <x:c r="E36" s="20" t="str">
        <x:v>横押しSMD／ストレート</x:v>
      </x:c>
      <x:c r="F36" s="22" t="n">
        <x:v>3.5</x:v>
      </x:c>
      <x:c r="G36" s="22" t="n">
        <x:v>3.55</x:v>
      </x:c>
      <x:c r="H36" s="22" t="n">
        <x:v>1.35</x:v>
      </x:c>
      <x:c r="I36" s="22" t="n">
        <x:f>IF(OR(F36="",G36=""),"",F36*G36)</x:f>
        <x:v>12.424999999999999</x:v>
      </x:c>
      <x:c r="J36" s="22" t="n">
        <x:v>2.2</x:v>
      </x:c>
      <x:c r="K36" s="22" t="n">
        <x:f>IF(J36="","",J36*101.971621)</x:f>
        <x:v>224.33756620000003</x:v>
      </x:c>
      <x:c r="L36" s="22" t="n">
        <x:v>0.2</x:v>
      </x:c>
      <x:c r="M36" s="23" t="n">
        <x:v>100000</x:v>
      </x:c>
      <x:c r="N36" s="20" t="str">
        <x:v>なし</x:v>
      </x:c>
      <x:c r="O36" s="20" t="str">
        <x:v>ボスなし</x:v>
      </x:c>
      <x:c r="P36" s="20" t="str">
        <x:f>IF(J36="","要確認",IF(AND(MAX(F36,G36)&lt;=5,J36&lt;='評価基準'!$B$7),"小型・軽め",IF(MAX(F36,G36)&lt;=5,"小型",IF(MAX(F36,G36)&lt;=6.5,"標準","大きめ参考"))))</x:f>
        <x:v>小型</x:v>
      </x:c>
      <x:c r="Q36" s="20" t="str">
        <x:f>IF(J36="","不明",IF(J36&lt;='評価基準'!$B$6,"非常に軽い",IF(J36&lt;='評価基準'!$B$7,"軽い",IF(J36&lt;='評価基準'!$B$8,"中程度","重め"))))</x:f>
        <x:v>中程度</x:v>
      </x:c>
      <x:c r="R36" s="24" t="n">
        <x:f>IF(OR(I36="",J36=""),"",MAX(0,ROUND(100-I36*'評価基準'!$B$2-J36*'評価基準'!$B$3-MAX(0,H36-'評価基準'!$B$5)*'評価基準'!$B$4,1)))</x:f>
        <x:v>42.4</x:v>
      </x:c>
      <x:c r="S36" s="20" t="str">
        <x:v>https://industry.panasonic.com/ap/en/products/control/switch/light-touch/number/evqp7a01p</x:v>
      </x:c>
      <x:c r="T36" s="20" t="str">
        <x:v>https://www.digikey.jp/ja/products?keywords=EVQP7A01P</x:v>
      </x:c>
      <x:c r="U36" s="25" t="str"/>
      <x:c r="V36" s="20" t="str">
        <x:v>メーカー公式</x:v>
      </x:c>
      <x:c r="W36" s="20" t="str">
        <x:v>中（取付方向を図面確認）</x:v>
      </x:c>
    </x:row>
    <x:row r="37">
      <x:c r="A37" s="20" t="str">
        <x:v>Panasonic Industry</x:v>
      </x:c>
      <x:c r="B37" s="20" t="str">
        <x:v>EVQP7</x:v>
      </x:c>
      <x:c r="C37" s="21" t="str">
        <x:v>EVQP7B01P</x:v>
      </x:c>
      <x:c r="D37" s="20" t="str">
        <x:v>掲載中</x:v>
      </x:c>
      <x:c r="E37" s="20" t="str">
        <x:v>横押しSMD／J曲げ</x:v>
      </x:c>
      <x:c r="F37" s="22" t="n">
        <x:v>3.5</x:v>
      </x:c>
      <x:c r="G37" s="22" t="n">
        <x:v>3.55</x:v>
      </x:c>
      <x:c r="H37" s="22" t="n">
        <x:v>1.35</x:v>
      </x:c>
      <x:c r="I37" s="22" t="n">
        <x:f>IF(OR(F37="",G37=""),"",F37*G37)</x:f>
        <x:v>12.424999999999999</x:v>
      </x:c>
      <x:c r="J37" s="22" t="n">
        <x:v>2.2</x:v>
      </x:c>
      <x:c r="K37" s="22" t="n">
        <x:f>IF(J37="","",J37*101.971621)</x:f>
        <x:v>224.33756620000003</x:v>
      </x:c>
      <x:c r="L37" s="22" t="n">
        <x:v>0.2</x:v>
      </x:c>
      <x:c r="M37" s="23" t="n">
        <x:v>100000</x:v>
      </x:c>
      <x:c r="N37" s="20" t="str">
        <x:v>なし</x:v>
      </x:c>
      <x:c r="O37" s="20" t="str">
        <x:v>ボスなし</x:v>
      </x:c>
      <x:c r="P37" s="20" t="str">
        <x:f>IF(J37="","要確認",IF(AND(MAX(F37,G37)&lt;=5,J37&lt;='評価基準'!$B$7),"小型・軽め",IF(MAX(F37,G37)&lt;=5,"小型",IF(MAX(F37,G37)&lt;=6.5,"標準","大きめ参考"))))</x:f>
        <x:v>小型</x:v>
      </x:c>
      <x:c r="Q37" s="20" t="str">
        <x:f>IF(J37="","不明",IF(J37&lt;='評価基準'!$B$6,"非常に軽い",IF(J37&lt;='評価基準'!$B$7,"軽い",IF(J37&lt;='評価基準'!$B$8,"中程度","重め"))))</x:f>
        <x:v>中程度</x:v>
      </x:c>
      <x:c r="R37" s="24" t="n">
        <x:f>IF(OR(I37="",J37=""),"",MAX(0,ROUND(100-I37*'評価基準'!$B$2-J37*'評価基準'!$B$3-MAX(0,H37-'評価基準'!$B$5)*'評価基準'!$B$4,1)))</x:f>
        <x:v>42.4</x:v>
      </x:c>
      <x:c r="S37" s="20" t="str">
        <x:v>https://industry.panasonic.com/ap/en/products/control/switch/light-touch/number/evqp7b01p</x:v>
      </x:c>
      <x:c r="T37" s="20" t="str">
        <x:v>https://www.digikey.jp/ja/products?keywords=EVQP7B01P</x:v>
      </x:c>
      <x:c r="U37" s="25" t="str"/>
      <x:c r="V37" s="20" t="str">
        <x:v>メーカー公式</x:v>
      </x:c>
      <x:c r="W37" s="20" t="str">
        <x:v>中（取付方向を図面確認）</x:v>
      </x:c>
    </x:row>
    <x:row r="38">
      <x:c r="A38" s="20" t="str">
        <x:v>Würth Elektronik</x:v>
      </x:c>
      <x:c r="B38" s="20" t="str">
        <x:v>WS-TASU</x:v>
      </x:c>
      <x:c r="C38" s="21" t="str">
        <x:v>P/N 434381035816</x:v>
      </x:c>
      <x:c r="D38" s="20" t="str">
        <x:v>Active</x:v>
      </x:c>
      <x:c r="E38" s="20" t="str">
        <x:v>横押しSMD／ミッドマウント</x:v>
      </x:c>
      <x:c r="F38" s="22" t="n">
        <x:v>6.2</x:v>
      </x:c>
      <x:c r="G38" s="22" t="n">
        <x:v>3</x:v>
      </x:c>
      <x:c r="H38" s="22" t="n">
        <x:v>3.5</x:v>
      </x:c>
      <x:c r="I38" s="22" t="n">
        <x:f>IF(OR(F38="",G38=""),"",F38*G38)</x:f>
        <x:v>18.6</x:v>
      </x:c>
      <x:c r="J38" s="22" t="n">
        <x:v>1.569</x:v>
      </x:c>
      <x:c r="K38" s="22" t="n">
        <x:f>IF(J38="","",J38*101.971621)</x:f>
        <x:v>159.993473349</x:v>
      </x:c>
      <x:c r="L38" s="22" t="n">
        <x:v>0.2</x:v>
      </x:c>
      <x:c r="M38" s="23" t="n">
        <x:v>1000000</x:v>
      </x:c>
      <x:c r="N38" s="20" t="str">
        <x:v>なし</x:v>
      </x:c>
      <x:c r="O38" s="20" t="str">
        <x:v>160gf・青</x:v>
      </x:c>
      <x:c r="P38" s="20" t="str">
        <x:f>IF(J38="","要確認",IF(AND(MAX(F38,G38)&lt;=5,J38&lt;='評価基準'!$B$7),"小型・軽め",IF(MAX(F38,G38)&lt;=5,"小型",IF(MAX(F38,G38)&lt;=6.5,"標準","大きめ参考"))))</x:f>
        <x:v>標準</x:v>
      </x:c>
      <x:c r="Q38" s="20" t="str">
        <x:f>IF(J38="","不明",IF(J38&lt;='評価基準'!$B$6,"非常に軽い",IF(J38&lt;='評価基準'!$B$7,"軽い",IF(J38&lt;='評価基準'!$B$8,"中程度","重め"))))</x:f>
        <x:v>軽い</x:v>
      </x:c>
      <x:c r="R38" s="24" t="n">
        <x:f>IF(OR(I38="",J38=""),"",MAX(0,ROUND(100-I38*'評価基準'!$B$2-J38*'評価基準'!$B$3-MAX(0,H38-'評価基準'!$B$5)*'評価基準'!$B$4,1)))</x:f>
        <x:v>41.4</x:v>
      </x:c>
      <x:c r="S38" s="20" t="str">
        <x:v>https://www.we-online.com/en/components/products/WS_TASU_SMT_TACT_SWITCH_6_2_X_3_0</x:v>
      </x:c>
      <x:c r="T38" s="20" t="str">
        <x:v>https://www.digikey.jp/ja/products?keywords=434381035816</x:v>
      </x:c>
      <x:c r="U38" s="25" t="str">
        <x:v>TS-1246VWと同じ外形級。公式にMid-Mount明記。</x:v>
      </x:c>
      <x:c r="V38" s="20" t="str">
        <x:v>メーカー公式</x:v>
      </x:c>
      <x:c r="W38" s="20" t="str">
        <x:v>高（ミッドマウント）</x:v>
      </x:c>
    </x:row>
    <x:row r="39">
      <x:c r="A39" s="20" t="str">
        <x:v>C&amp;K / Littelfuse</x:v>
      </x:c>
      <x:c r="B39" s="20" t="str">
        <x:v>KMS</x:v>
      </x:c>
      <x:c r="C39" s="21" t="str">
        <x:v>KMS221G LFS</x:v>
      </x:c>
      <x:c r="D39" s="20" t="str">
        <x:v>注文可</x:v>
      </x:c>
      <x:c r="E39" s="20" t="str">
        <x:v>横押しSMT／ガルウィング</x:v>
      </x:c>
      <x:c r="F39" s="22" t="n">
        <x:v>4.2</x:v>
      </x:c>
      <x:c r="G39" s="22" t="n">
        <x:v>3.55</x:v>
      </x:c>
      <x:c r="H39" s="22" t="n">
        <x:v>1.42</x:v>
      </x:c>
      <x:c r="I39" s="22" t="n">
        <x:f>IF(OR(F39="",G39=""),"",F39*G39)</x:f>
        <x:v>14.91</x:v>
      </x:c>
      <x:c r="J39" s="22" t="n">
        <x:v>2</x:v>
      </x:c>
      <x:c r="K39" s="22" t="n">
        <x:f>IF(J39="","",J39*101.971621)</x:f>
        <x:v>203.943242</x:v>
      </x:c>
      <x:c r="L39" s="22" t="n">
        <x:v>0.25</x:v>
      </x:c>
      <x:c r="M39" s="23" t="n">
        <x:v>100000</x:v>
      </x:c>
      <x:c r="N39" s="20" t="str">
        <x:v>IP40</x:v>
      </x:c>
      <x:c r="O39" s="20" t="str">
        <x:v>銀接点・ボスなし</x:v>
      </x:c>
      <x:c r="P39" s="20" t="str">
        <x:f>IF(J39="","要確認",IF(AND(MAX(F39,G39)&lt;=5,J39&lt;='評価基準'!$B$7),"小型・軽め",IF(MAX(F39,G39)&lt;=5,"小型",IF(MAX(F39,G39)&lt;=6.5,"標準","大きめ参考"))))</x:f>
        <x:v>小型</x:v>
      </x:c>
      <x:c r="Q39" s="20" t="str">
        <x:f>IF(J39="","不明",IF(J39&lt;='評価基準'!$B$6,"非常に軽い",IF(J39&lt;='評価基準'!$B$7,"軽い",IF(J39&lt;='評価基準'!$B$8,"中程度","重め"))))</x:f>
        <x:v>中程度</x:v>
      </x:c>
      <x:c r="R39" s="24" t="n">
        <x:f>IF(OR(I39="",J39=""),"",MAX(0,ROUND(100-I39*'評価基準'!$B$2-J39*'評価基準'!$B$3-MAX(0,H39-'評価基準'!$B$5)*'評価基準'!$B$4,1)))</x:f>
        <x:v>41.2</x:v>
      </x:c>
      <x:c r="S39" s="20" t="str">
        <x:v>https://www.ckswitches.com/media/1482/kms.pdf</x:v>
      </x:c>
      <x:c r="T39" s="20" t="str">
        <x:v>https://www.digikey.jp/ja/products?keywords=KMS221G%20LFS</x:v>
      </x:c>
      <x:c r="U39" s="25" t="str"/>
      <x:c r="V39" s="20" t="str">
        <x:v>メーカー公式</x:v>
      </x:c>
      <x:c r="W39" s="20" t="str">
        <x:v>低（通常ライトアングル）</x:v>
      </x:c>
    </x:row>
    <x:row r="40">
      <x:c r="A40" s="20" t="str">
        <x:v>C&amp;K / Littelfuse</x:v>
      </x:c>
      <x:c r="B40" s="20" t="str">
        <x:v>KMS</x:v>
      </x:c>
      <x:c r="C40" s="21" t="str">
        <x:v>KMS221GP LFS</x:v>
      </x:c>
      <x:c r="D40" s="20" t="str">
        <x:v>注文可</x:v>
      </x:c>
      <x:c r="E40" s="20" t="str">
        <x:v>横押しSMT／ガルウィング</x:v>
      </x:c>
      <x:c r="F40" s="22" t="n">
        <x:v>4.2</x:v>
      </x:c>
      <x:c r="G40" s="22" t="n">
        <x:v>3.55</x:v>
      </x:c>
      <x:c r="H40" s="22" t="n">
        <x:v>1.42</x:v>
      </x:c>
      <x:c r="I40" s="22" t="n">
        <x:f>IF(OR(F40="",G40=""),"",F40*G40)</x:f>
        <x:v>14.91</x:v>
      </x:c>
      <x:c r="J40" s="22" t="n">
        <x:v>2</x:v>
      </x:c>
      <x:c r="K40" s="22" t="n">
        <x:f>IF(J40="","",J40*101.971621)</x:f>
        <x:v>203.943242</x:v>
      </x:c>
      <x:c r="L40" s="22" t="n">
        <x:v>0.25</x:v>
      </x:c>
      <x:c r="M40" s="23" t="n">
        <x:v>100000</x:v>
      </x:c>
      <x:c r="N40" s="20" t="str">
        <x:v>IP40</x:v>
      </x:c>
      <x:c r="O40" s="20" t="str">
        <x:v>銀接点・ボスあり</x:v>
      </x:c>
      <x:c r="P40" s="20" t="str">
        <x:f>IF(J40="","要確認",IF(AND(MAX(F40,G40)&lt;=5,J40&lt;='評価基準'!$B$7),"小型・軽め",IF(MAX(F40,G40)&lt;=5,"小型",IF(MAX(F40,G40)&lt;=6.5,"標準","大きめ参考"))))</x:f>
        <x:v>小型</x:v>
      </x:c>
      <x:c r="Q40" s="20" t="str">
        <x:f>IF(J40="","不明",IF(J40&lt;='評価基準'!$B$6,"非常に軽い",IF(J40&lt;='評価基準'!$B$7,"軽い",IF(J40&lt;='評価基準'!$B$8,"中程度","重め"))))</x:f>
        <x:v>中程度</x:v>
      </x:c>
      <x:c r="R40" s="24" t="n">
        <x:f>IF(OR(I40="",J40=""),"",MAX(0,ROUND(100-I40*'評価基準'!$B$2-J40*'評価基準'!$B$3-MAX(0,H40-'評価基準'!$B$5)*'評価基準'!$B$4,1)))</x:f>
        <x:v>41.2</x:v>
      </x:c>
      <x:c r="S40" s="20" t="str">
        <x:v>https://www.ckswitches.com/media/1482/kms.pdf</x:v>
      </x:c>
      <x:c r="T40" s="20" t="str">
        <x:v>https://www.digikey.jp/ja/products?keywords=KMS221GP%20LFS</x:v>
      </x:c>
      <x:c r="U40" s="25" t="str"/>
      <x:c r="V40" s="20" t="str">
        <x:v>メーカー公式</x:v>
      </x:c>
      <x:c r="W40" s="20" t="str">
        <x:v>低（通常ライトアングル）</x:v>
      </x:c>
    </x:row>
    <x:row r="41">
      <x:c r="A41" s="20" t="str">
        <x:v>C&amp;K / Littelfuse</x:v>
      </x:c>
      <x:c r="B41" s="20" t="str">
        <x:v>KMS</x:v>
      </x:c>
      <x:c r="C41" s="21" t="str">
        <x:v>KMS223G LFG</x:v>
      </x:c>
      <x:c r="D41" s="20" t="str">
        <x:v>注文可</x:v>
      </x:c>
      <x:c r="E41" s="20" t="str">
        <x:v>横押しSMT／ガルウィング</x:v>
      </x:c>
      <x:c r="F41" s="22" t="n">
        <x:v>4.2</x:v>
      </x:c>
      <x:c r="G41" s="22" t="n">
        <x:v>3.55</x:v>
      </x:c>
      <x:c r="H41" s="22" t="n">
        <x:v>1.42</x:v>
      </x:c>
      <x:c r="I41" s="22" t="n">
        <x:f>IF(OR(F41="",G41=""),"",F41*G41)</x:f>
        <x:v>14.91</x:v>
      </x:c>
      <x:c r="J41" s="22" t="n">
        <x:v>2</x:v>
      </x:c>
      <x:c r="K41" s="22" t="n">
        <x:f>IF(J41="","",J41*101.971621)</x:f>
        <x:v>203.943242</x:v>
      </x:c>
      <x:c r="L41" s="22" t="n">
        <x:v>0.25</x:v>
      </x:c>
      <x:c r="M41" s="23" t="n">
        <x:v>100000</x:v>
      </x:c>
      <x:c r="N41" s="20" t="str">
        <x:v>IP40</x:v>
      </x:c>
      <x:c r="O41" s="20" t="str">
        <x:v>金接点・ボスなし</x:v>
      </x:c>
      <x:c r="P41" s="20" t="str">
        <x:f>IF(J41="","要確認",IF(AND(MAX(F41,G41)&lt;=5,J41&lt;='評価基準'!$B$7),"小型・軽め",IF(MAX(F41,G41)&lt;=5,"小型",IF(MAX(F41,G41)&lt;=6.5,"標準","大きめ参考"))))</x:f>
        <x:v>小型</x:v>
      </x:c>
      <x:c r="Q41" s="20" t="str">
        <x:f>IF(J41="","不明",IF(J41&lt;='評価基準'!$B$6,"非常に軽い",IF(J41&lt;='評価基準'!$B$7,"軽い",IF(J41&lt;='評価基準'!$B$8,"中程度","重め"))))</x:f>
        <x:v>中程度</x:v>
      </x:c>
      <x:c r="R41" s="24" t="n">
        <x:f>IF(OR(I41="",J41=""),"",MAX(0,ROUND(100-I41*'評価基準'!$B$2-J41*'評価基準'!$B$3-MAX(0,H41-'評価基準'!$B$5)*'評価基準'!$B$4,1)))</x:f>
        <x:v>41.2</x:v>
      </x:c>
      <x:c r="S41" s="20" t="str">
        <x:v>https://www.ckswitches.com/media/1482/kms.pdf</x:v>
      </x:c>
      <x:c r="T41" s="20" t="str">
        <x:v>https://www.digikey.jp/ja/products?keywords=KMS223G%20LFG</x:v>
      </x:c>
      <x:c r="U41" s="25" t="str"/>
      <x:c r="V41" s="20" t="str">
        <x:v>メーカー公式</x:v>
      </x:c>
      <x:c r="W41" s="20" t="str">
        <x:v>低（通常ライトアングル）</x:v>
      </x:c>
    </x:row>
    <x:row r="42">
      <x:c r="A42" s="20" t="str">
        <x:v>C&amp;K / Littelfuse</x:v>
      </x:c>
      <x:c r="B42" s="20" t="str">
        <x:v>KMS</x:v>
      </x:c>
      <x:c r="C42" s="21" t="str">
        <x:v>KMS223GP LFG</x:v>
      </x:c>
      <x:c r="D42" s="20" t="str">
        <x:v>注文可</x:v>
      </x:c>
      <x:c r="E42" s="20" t="str">
        <x:v>横押しSMT／ガルウィング</x:v>
      </x:c>
      <x:c r="F42" s="22" t="n">
        <x:v>4.2</x:v>
      </x:c>
      <x:c r="G42" s="22" t="n">
        <x:v>3.55</x:v>
      </x:c>
      <x:c r="H42" s="22" t="n">
        <x:v>1.42</x:v>
      </x:c>
      <x:c r="I42" s="22" t="n">
        <x:f>IF(OR(F42="",G42=""),"",F42*G42)</x:f>
        <x:v>14.91</x:v>
      </x:c>
      <x:c r="J42" s="22" t="n">
        <x:v>2</x:v>
      </x:c>
      <x:c r="K42" s="22" t="n">
        <x:f>IF(J42="","",J42*101.971621)</x:f>
        <x:v>203.943242</x:v>
      </x:c>
      <x:c r="L42" s="22" t="n">
        <x:v>0.25</x:v>
      </x:c>
      <x:c r="M42" s="23" t="n">
        <x:v>100000</x:v>
      </x:c>
      <x:c r="N42" s="20" t="str">
        <x:v>IP40</x:v>
      </x:c>
      <x:c r="O42" s="20" t="str">
        <x:v>金接点・ボスあり</x:v>
      </x:c>
      <x:c r="P42" s="20" t="str">
        <x:f>IF(J42="","要確認",IF(AND(MAX(F42,G42)&lt;=5,J42&lt;='評価基準'!$B$7),"小型・軽め",IF(MAX(F42,G42)&lt;=5,"小型",IF(MAX(F42,G42)&lt;=6.5,"標準","大きめ参考"))))</x:f>
        <x:v>小型</x:v>
      </x:c>
      <x:c r="Q42" s="20" t="str">
        <x:f>IF(J42="","不明",IF(J42&lt;='評価基準'!$B$6,"非常に軽い",IF(J42&lt;='評価基準'!$B$7,"軽い",IF(J42&lt;='評価基準'!$B$8,"中程度","重め"))))</x:f>
        <x:v>中程度</x:v>
      </x:c>
      <x:c r="R42" s="24" t="n">
        <x:f>IF(OR(I42="",J42=""),"",MAX(0,ROUND(100-I42*'評価基準'!$B$2-J42*'評価基準'!$B$3-MAX(0,H42-'評価基準'!$B$5)*'評価基準'!$B$4,1)))</x:f>
        <x:v>41.2</x:v>
      </x:c>
      <x:c r="S42" s="20" t="str">
        <x:v>https://www.ckswitches.com/media/1482/kms.pdf</x:v>
      </x:c>
      <x:c r="T42" s="20" t="str">
        <x:v>https://www.digikey.jp/ja/products?keywords=KMS223GP%20LFG</x:v>
      </x:c>
      <x:c r="U42" s="25" t="str"/>
      <x:c r="V42" s="20" t="str">
        <x:v>メーカー公式</x:v>
      </x:c>
      <x:c r="W42" s="20" t="str">
        <x:v>低（通常ライトアングル）</x:v>
      </x:c>
    </x:row>
    <x:row r="43">
      <x:c r="A43" s="20" t="str">
        <x:v>Panasonic Industry</x:v>
      </x:c>
      <x:c r="B43" s="20" t="str">
        <x:v>EVQP4</x:v>
      </x:c>
      <x:c r="C43" s="21" t="str">
        <x:v>EVQP42B3M</x:v>
      </x:c>
      <x:c r="D43" s="20" t="str">
        <x:v>掲載中</x:v>
      </x:c>
      <x:c r="E43" s="20" t="str">
        <x:v>横押しSMD／エッジマウント</x:v>
      </x:c>
      <x:c r="F43" s="22" t="n">
        <x:v>6.2</x:v>
      </x:c>
      <x:c r="G43" s="22" t="n">
        <x:v>3</x:v>
      </x:c>
      <x:c r="H43" s="22" t="n">
        <x:v>3.5</x:v>
      </x:c>
      <x:c r="I43" s="22" t="n">
        <x:f>IF(OR(F43="",G43=""),"",F43*G43)</x:f>
        <x:v>18.6</x:v>
      </x:c>
      <x:c r="J43" s="22" t="n">
        <x:v>1.6</x:v>
      </x:c>
      <x:c r="K43" s="22" t="n">
        <x:f>IF(J43="","",J43*101.971621)</x:f>
        <x:v>163.1545936</x:v>
      </x:c>
      <x:c r="L43" s="22" t="n">
        <x:v>0.25</x:v>
      </x:c>
      <x:c r="M43" s="23" t="n">
        <x:v>1000000</x:v>
      </x:c>
      <x:c r="N43" s="20" t="str">
        <x:v>なし</x:v>
      </x:c>
      <x:c r="O43" s="20" t="str">
        <x:v>Flat端子・接地端子あり</x:v>
      </x:c>
      <x:c r="P43" s="20" t="str">
        <x:f>IF(J43="","要確認",IF(AND(MAX(F43,G43)&lt;=5,J43&lt;='評価基準'!$B$7),"小型・軽め",IF(MAX(F43,G43)&lt;=5,"小型",IF(MAX(F43,G43)&lt;=6.5,"標準","大きめ参考"))))</x:f>
        <x:v>標準</x:v>
      </x:c>
      <x:c r="Q43" s="20" t="str">
        <x:f>IF(J43="","不明",IF(J43&lt;='評価基準'!$B$6,"非常に軽い",IF(J43&lt;='評価基準'!$B$7,"軽い",IF(J43&lt;='評価基準'!$B$8,"中程度","重め"))))</x:f>
        <x:v>軽い</x:v>
      </x:c>
      <x:c r="R43" s="24" t="n">
        <x:f>IF(OR(I43="",J43=""),"",MAX(0,ROUND(100-I43*'評価基準'!$B$2-J43*'評価基準'!$B$3-MAX(0,H43-'評価基準'!$B$5)*'評価基準'!$B$4,1)))</x:f>
        <x:v>40.9</x:v>
      </x:c>
      <x:c r="S43" s="20" t="str">
        <x:v>https://industry.panasonic.com/global/en/products/control/switch/light-touch/number/evqp42b3m</x:v>
      </x:c>
      <x:c r="T43" s="20" t="str">
        <x:v>https://www.digikey.jp/ja/products?keywords=EVQP42B3M</x:v>
      </x:c>
      <x:c r="U43" s="25" t="str">
        <x:v>TS-1246VWとほぼ同じ外形級。</x:v>
      </x:c>
      <x:c r="V43" s="20" t="str">
        <x:v>メーカー公式</x:v>
      </x:c>
      <x:c r="W43" s="20" t="str">
        <x:v>高（エッジマウント）</x:v>
      </x:c>
    </x:row>
    <x:row r="44">
      <x:c r="A44" s="20" t="str">
        <x:v>Panasonic Industry</x:v>
      </x:c>
      <x:c r="B44" s="20" t="str">
        <x:v>EVQPU</x:v>
      </x:c>
      <x:c r="C44" s="21" t="str">
        <x:v>EVQPUJ02K</x:v>
      </x:c>
      <x:c r="D44" s="20" t="str">
        <x:v>掲載中</x:v>
      </x:c>
      <x:c r="E44" s="20" t="str">
        <x:v>横押しSMD／ストレート</x:v>
      </x:c>
      <x:c r="F44" s="22" t="n">
        <x:v>4.7</x:v>
      </x:c>
      <x:c r="G44" s="22" t="n">
        <x:v>4.5</x:v>
      </x:c>
      <x:c r="H44" s="22" t="n">
        <x:v>1.65</x:v>
      </x:c>
      <x:c r="I44" s="22" t="n">
        <x:f>IF(OR(F44="",G44=""),"",F44*G44)</x:f>
        <x:v>21.150000000000002</x:v>
      </x:c>
      <x:c r="J44" s="22" t="n">
        <x:v>1.6</x:v>
      </x:c>
      <x:c r="K44" s="22" t="n">
        <x:f>IF(J44="","",J44*101.971621)</x:f>
        <x:v>163.1545936</x:v>
      </x:c>
      <x:c r="L44" s="22" t="n">
        <x:v>0.3</x:v>
      </x:c>
      <x:c r="M44" s="23" t="n">
        <x:v>100000</x:v>
      </x:c>
      <x:c r="N44" s="20" t="str">
        <x:v>なし</x:v>
      </x:c>
      <x:c r="O44" s="20" t="str">
        <x:v>ボスなし</x:v>
      </x:c>
      <x:c r="P44" s="20" t="str">
        <x:f>IF(J44="","要確認",IF(AND(MAX(F44,G44)&lt;=5,J44&lt;='評価基準'!$B$7),"小型・軽め",IF(MAX(F44,G44)&lt;=5,"小型",IF(MAX(F44,G44)&lt;=6.5,"標準","大きめ参考"))))</x:f>
        <x:v>小型・軽め</x:v>
      </x:c>
      <x:c r="Q44" s="20" t="str">
        <x:f>IF(J44="","不明",IF(J44&lt;='評価基準'!$B$6,"非常に軽い",IF(J44&lt;='評価基準'!$B$7,"軽い",IF(J44&lt;='評価基準'!$B$8,"中程度","重め"))))</x:f>
        <x:v>軽い</x:v>
      </x:c>
      <x:c r="R44" s="24" t="n">
        <x:f>IF(OR(I44="",J44=""),"",MAX(0,ROUND(100-I44*'評価基準'!$B$2-J44*'評価基準'!$B$3-MAX(0,H44-'評価基準'!$B$5)*'評価基準'!$B$4,1)))</x:f>
        <x:v>36.3</x:v>
      </x:c>
      <x:c r="S44" s="20" t="str">
        <x:v>https://industry.panasonic.com/global/en/products/control/switch/light-touch/number/evqpuj02k</x:v>
      </x:c>
      <x:c r="T44" s="20" t="str">
        <x:v>https://www.digikey.jp/ja/products?keywords=EVQPUJ02K</x:v>
      </x:c>
      <x:c r="U44" s="25" t="str"/>
      <x:c r="V44" s="20" t="str">
        <x:v>メーカー公式</x:v>
      </x:c>
      <x:c r="W44" s="20" t="str">
        <x:v>中（取付方向を図面確認）</x:v>
      </x:c>
    </x:row>
    <x:row r="45">
      <x:c r="A45" s="20" t="str">
        <x:v>Panasonic Industry</x:v>
      </x:c>
      <x:c r="B45" s="20" t="str">
        <x:v>EVQPU</x:v>
      </x:c>
      <x:c r="C45" s="21" t="str">
        <x:v>EVQPUK02K</x:v>
      </x:c>
      <x:c r="D45" s="20" t="str">
        <x:v>掲載中</x:v>
      </x:c>
      <x:c r="E45" s="20" t="str">
        <x:v>横押しSMD／J曲げ</x:v>
      </x:c>
      <x:c r="F45" s="22" t="n">
        <x:v>4.7</x:v>
      </x:c>
      <x:c r="G45" s="22" t="n">
        <x:v>4.5</x:v>
      </x:c>
      <x:c r="H45" s="22" t="n">
        <x:v>1.65</x:v>
      </x:c>
      <x:c r="I45" s="22" t="n">
        <x:f>IF(OR(F45="",G45=""),"",F45*G45)</x:f>
        <x:v>21.150000000000002</x:v>
      </x:c>
      <x:c r="J45" s="22" t="n">
        <x:v>1.6</x:v>
      </x:c>
      <x:c r="K45" s="22" t="n">
        <x:f>IF(J45="","",J45*101.971621)</x:f>
        <x:v>163.1545936</x:v>
      </x:c>
      <x:c r="L45" s="22" t="n">
        <x:v>0.3</x:v>
      </x:c>
      <x:c r="M45" s="23" t="n">
        <x:v>100000</x:v>
      </x:c>
      <x:c r="N45" s="20" t="str">
        <x:v>なし</x:v>
      </x:c>
      <x:c r="O45" s="20" t="str">
        <x:v>ボスなし</x:v>
      </x:c>
      <x:c r="P45" s="20" t="str">
        <x:f>IF(J45="","要確認",IF(AND(MAX(F45,G45)&lt;=5,J45&lt;='評価基準'!$B$7),"小型・軽め",IF(MAX(F45,G45)&lt;=5,"小型",IF(MAX(F45,G45)&lt;=6.5,"標準","大きめ参考"))))</x:f>
        <x:v>小型・軽め</x:v>
      </x:c>
      <x:c r="Q45" s="20" t="str">
        <x:f>IF(J45="","不明",IF(J45&lt;='評価基準'!$B$6,"非常に軽い",IF(J45&lt;='評価基準'!$B$7,"軽い",IF(J45&lt;='評価基準'!$B$8,"中程度","重め"))))</x:f>
        <x:v>軽い</x:v>
      </x:c>
      <x:c r="R45" s="24" t="n">
        <x:f>IF(OR(I45="",J45=""),"",MAX(0,ROUND(100-I45*'評価基準'!$B$2-J45*'評価基準'!$B$3-MAX(0,H45-'評価基準'!$B$5)*'評価基準'!$B$4,1)))</x:f>
        <x:v>36.3</x:v>
      </x:c>
      <x:c r="S45" s="20" t="str">
        <x:v>https://industry.panasonic.com/global/en/products/control/switch/light-touch/number/evqpuk02k</x:v>
      </x:c>
      <x:c r="T45" s="20" t="str">
        <x:v>https://www.digikey.jp/ja/products?keywords=EVQPUK02K</x:v>
      </x:c>
      <x:c r="U45" s="25" t="str"/>
      <x:c r="V45" s="20" t="str">
        <x:v>メーカー公式</x:v>
      </x:c>
      <x:c r="W45" s="20" t="str">
        <x:v>中（取付方向を図面確認）</x:v>
      </x:c>
    </x:row>
    <x:row r="46">
      <x:c r="A46" s="20" t="str">
        <x:v>Würth Elektronik</x:v>
      </x:c>
      <x:c r="B46" s="20" t="str">
        <x:v>WS-TASU</x:v>
      </x:c>
      <x:c r="C46" s="21" t="str">
        <x:v>P/N 434331045822</x:v>
      </x:c>
      <x:c r="D46" s="20" t="str">
        <x:v>Active</x:v>
      </x:c>
      <x:c r="E46" s="20" t="str">
        <x:v>横押しSMD</x:v>
      </x:c>
      <x:c r="F46" s="22" t="n">
        <x:v>4.7</x:v>
      </x:c>
      <x:c r="G46" s="22" t="n">
        <x:v>3.5</x:v>
      </x:c>
      <x:c r="H46" s="22" t="n">
        <x:v>1.65</x:v>
      </x:c>
      <x:c r="I46" s="22" t="n">
        <x:f>IF(OR(F46="",G46=""),"",F46*G46)</x:f>
        <x:v>16.45</x:v>
      </x:c>
      <x:c r="J46" s="22" t="n">
        <x:v>2.157</x:v>
      </x:c>
      <x:c r="K46" s="22" t="n">
        <x:f>IF(J46="","",J46*101.971621)</x:f>
        <x:v>219.952786497</x:v>
      </x:c>
      <x:c r="L46" s="22" t="n">
        <x:v>0.2</x:v>
      </x:c>
      <x:c r="M46" s="23" t="n">
        <x:v>100000</x:v>
      </x:c>
      <x:c r="N46" s="20" t="str">
        <x:v>なし</x:v>
      </x:c>
      <x:c r="O46" s="20" t="str">
        <x:v>220gf・黒</x:v>
      </x:c>
      <x:c r="P46" s="20" t="str">
        <x:f>IF(J46="","要確認",IF(AND(MAX(F46,G46)&lt;=5,J46&lt;='評価基準'!$B$7),"小型・軽め",IF(MAX(F46,G46)&lt;=5,"小型",IF(MAX(F46,G46)&lt;=6.5,"標準","大きめ参考"))))</x:f>
        <x:v>小型</x:v>
      </x:c>
      <x:c r="Q46" s="20" t="str">
        <x:f>IF(J46="","不明",IF(J46&lt;='評価基準'!$B$6,"非常に軽い",IF(J46&lt;='評価基準'!$B$7,"軽い",IF(J46&lt;='評価基準'!$B$8,"中程度","重め"))))</x:f>
        <x:v>中程度</x:v>
      </x:c>
      <x:c r="R46" s="24" t="n">
        <x:f>IF(OR(I46="",J46=""),"",MAX(0,ROUND(100-I46*'評価基準'!$B$2-J46*'評価基準'!$B$3-MAX(0,H46-'評価基準'!$B$5)*'評価基準'!$B$4,1)))</x:f>
        <x:v>35.9</x:v>
      </x:c>
      <x:c r="S46" s="20" t="str">
        <x:v>https://www.we-online.com/en/components/products/em/switches/tact_switches/ws-tasu</x:v>
      </x:c>
      <x:c r="T46" s="20" t="str">
        <x:v>https://www.digikey.jp/ja/products?keywords=434331045822</x:v>
      </x:c>
      <x:c r="U46" s="25" t="str"/>
      <x:c r="V46" s="20" t="str">
        <x:v>メーカー公式</x:v>
      </x:c>
      <x:c r="W46" s="20" t="str">
        <x:v>低（通常ライトアングル）</x:v>
      </x:c>
    </x:row>
    <x:row r="47">
      <x:c r="A47" s="20" t="str">
        <x:v>Würth Elektronik</x:v>
      </x:c>
      <x:c r="B47" s="20" t="str">
        <x:v>WS-TASU</x:v>
      </x:c>
      <x:c r="C47" s="21" t="str">
        <x:v>P/N 434333045822</x:v>
      </x:c>
      <x:c r="D47" s="20" t="str">
        <x:v>Active</x:v>
      </x:c>
      <x:c r="E47" s="20" t="str">
        <x:v>横押しSMD／J曲げ</x:v>
      </x:c>
      <x:c r="F47" s="22" t="n">
        <x:v>4.7</x:v>
      </x:c>
      <x:c r="G47" s="22" t="n">
        <x:v>3.5</x:v>
      </x:c>
      <x:c r="H47" s="22" t="n">
        <x:v>1.65</x:v>
      </x:c>
      <x:c r="I47" s="22" t="n">
        <x:f>IF(OR(F47="",G47=""),"",F47*G47)</x:f>
        <x:v>16.45</x:v>
      </x:c>
      <x:c r="J47" s="22" t="n">
        <x:v>2.157</x:v>
      </x:c>
      <x:c r="K47" s="22" t="n">
        <x:f>IF(J47="","",J47*101.971621)</x:f>
        <x:v>219.952786497</x:v>
      </x:c>
      <x:c r="L47" s="22" t="n">
        <x:v>0.2</x:v>
      </x:c>
      <x:c r="M47" s="23" t="n">
        <x:v>100000</x:v>
      </x:c>
      <x:c r="N47" s="20" t="str">
        <x:v>なし</x:v>
      </x:c>
      <x:c r="O47" s="20" t="str">
        <x:v>220gf・黒</x:v>
      </x:c>
      <x:c r="P47" s="20" t="str">
        <x:f>IF(J47="","要確認",IF(AND(MAX(F47,G47)&lt;=5,J47&lt;='評価基準'!$B$7),"小型・軽め",IF(MAX(F47,G47)&lt;=5,"小型",IF(MAX(F47,G47)&lt;=6.5,"標準","大きめ参考"))))</x:f>
        <x:v>小型</x:v>
      </x:c>
      <x:c r="Q47" s="20" t="str">
        <x:f>IF(J47="","不明",IF(J47&lt;='評価基準'!$B$6,"非常に軽い",IF(J47&lt;='評価基準'!$B$7,"軽い",IF(J47&lt;='評価基準'!$B$8,"中程度","重め"))))</x:f>
        <x:v>中程度</x:v>
      </x:c>
      <x:c r="R47" s="24" t="n">
        <x:f>IF(OR(I47="",J47=""),"",MAX(0,ROUND(100-I47*'評価基準'!$B$2-J47*'評価基準'!$B$3-MAX(0,H47-'評価基準'!$B$5)*'評価基準'!$B$4,1)))</x:f>
        <x:v>35.9</x:v>
      </x:c>
      <x:c r="S47" s="20" t="str">
        <x:v>https://www.we-online.com/en/components/products/em/switches/tact_switches/ws-tasu</x:v>
      </x:c>
      <x:c r="T47" s="20" t="str">
        <x:v>https://www.digikey.jp/ja/products?keywords=434333045822</x:v>
      </x:c>
      <x:c r="U47" s="25" t="str"/>
      <x:c r="V47" s="20" t="str">
        <x:v>メーカー公式</x:v>
      </x:c>
      <x:c r="W47" s="20" t="str">
        <x:v>低（通常ライトアングル）</x:v>
      </x:c>
    </x:row>
    <x:row r="48">
      <x:c r="A48" s="20" t="str">
        <x:v>Würth Elektronik</x:v>
      </x:c>
      <x:c r="B48" s="20" t="str">
        <x:v>WS-TASU</x:v>
      </x:c>
      <x:c r="C48" s="21" t="str">
        <x:v>P/N 436331045822</x:v>
      </x:c>
      <x:c r="D48" s="20" t="str">
        <x:v>Active</x:v>
      </x:c>
      <x:c r="E48" s="20" t="str">
        <x:v>横押しSMD</x:v>
      </x:c>
      <x:c r="F48" s="22" t="n">
        <x:v>4.7</x:v>
      </x:c>
      <x:c r="G48" s="22" t="n">
        <x:v>3.5</x:v>
      </x:c>
      <x:c r="H48" s="22" t="n">
        <x:v>1.65</x:v>
      </x:c>
      <x:c r="I48" s="22" t="n">
        <x:f>IF(OR(F48="",G48=""),"",F48*G48)</x:f>
        <x:v>16.45</x:v>
      </x:c>
      <x:c r="J48" s="22" t="n">
        <x:v>2.157</x:v>
      </x:c>
      <x:c r="K48" s="22" t="n">
        <x:f>IF(J48="","",J48*101.971621)</x:f>
        <x:v>219.952786497</x:v>
      </x:c>
      <x:c r="L48" s="22" t="n">
        <x:v>0.2</x:v>
      </x:c>
      <x:c r="M48" s="23" t="n">
        <x:v>100000</x:v>
      </x:c>
      <x:c r="N48" s="20" t="str">
        <x:v>なし</x:v>
      </x:c>
      <x:c r="O48" s="20" t="str">
        <x:v>ボスあり・220gf</x:v>
      </x:c>
      <x:c r="P48" s="20" t="str">
        <x:f>IF(J48="","要確認",IF(AND(MAX(F48,G48)&lt;=5,J48&lt;='評価基準'!$B$7),"小型・軽め",IF(MAX(F48,G48)&lt;=5,"小型",IF(MAX(F48,G48)&lt;=6.5,"標準","大きめ参考"))))</x:f>
        <x:v>小型</x:v>
      </x:c>
      <x:c r="Q48" s="20" t="str">
        <x:f>IF(J48="","不明",IF(J48&lt;='評価基準'!$B$6,"非常に軽い",IF(J48&lt;='評価基準'!$B$7,"軽い",IF(J48&lt;='評価基準'!$B$8,"中程度","重め"))))</x:f>
        <x:v>中程度</x:v>
      </x:c>
      <x:c r="R48" s="24" t="n">
        <x:f>IF(OR(I48="",J48=""),"",MAX(0,ROUND(100-I48*'評価基準'!$B$2-J48*'評価基準'!$B$3-MAX(0,H48-'評価基準'!$B$5)*'評価基準'!$B$4,1)))</x:f>
        <x:v>35.9</x:v>
      </x:c>
      <x:c r="S48" s="20" t="str">
        <x:v>https://www.we-online.com/en/components/products/em/switches/tact_switches/ws-tasu</x:v>
      </x:c>
      <x:c r="T48" s="20" t="str">
        <x:v>https://www.digikey.jp/ja/products?keywords=436331045822</x:v>
      </x:c>
      <x:c r="U48" s="25" t="str"/>
      <x:c r="V48" s="20" t="str">
        <x:v>メーカー公式</x:v>
      </x:c>
      <x:c r="W48" s="20" t="str">
        <x:v>低（通常ライトアングル）</x:v>
      </x:c>
    </x:row>
    <x:row r="49">
      <x:c r="A49" s="20" t="str">
        <x:v>Würth Elektronik</x:v>
      </x:c>
      <x:c r="B49" s="20" t="str">
        <x:v>WS-TASU</x:v>
      </x:c>
      <x:c r="C49" s="21" t="str">
        <x:v>P/N 436333045822</x:v>
      </x:c>
      <x:c r="D49" s="20" t="str">
        <x:v>Active</x:v>
      </x:c>
      <x:c r="E49" s="20" t="str">
        <x:v>横押しSMD／J曲げ</x:v>
      </x:c>
      <x:c r="F49" s="22" t="n">
        <x:v>4.7</x:v>
      </x:c>
      <x:c r="G49" s="22" t="n">
        <x:v>3.5</x:v>
      </x:c>
      <x:c r="H49" s="22" t="n">
        <x:v>1.65</x:v>
      </x:c>
      <x:c r="I49" s="22" t="n">
        <x:f>IF(OR(F49="",G49=""),"",F49*G49)</x:f>
        <x:v>16.45</x:v>
      </x:c>
      <x:c r="J49" s="22" t="n">
        <x:v>2.157</x:v>
      </x:c>
      <x:c r="K49" s="22" t="n">
        <x:f>IF(J49="","",J49*101.971621)</x:f>
        <x:v>219.952786497</x:v>
      </x:c>
      <x:c r="L49" s="22" t="n">
        <x:v>0.2</x:v>
      </x:c>
      <x:c r="M49" s="23" t="n">
        <x:v>100000</x:v>
      </x:c>
      <x:c r="N49" s="20" t="str">
        <x:v>なし</x:v>
      </x:c>
      <x:c r="O49" s="20" t="str">
        <x:v>ボスあり・220gf</x:v>
      </x:c>
      <x:c r="P49" s="20" t="str">
        <x:f>IF(J49="","要確認",IF(AND(MAX(F49,G49)&lt;=5,J49&lt;='評価基準'!$B$7),"小型・軽め",IF(MAX(F49,G49)&lt;=5,"小型",IF(MAX(F49,G49)&lt;=6.5,"標準","大きめ参考"))))</x:f>
        <x:v>小型</x:v>
      </x:c>
      <x:c r="Q49" s="20" t="str">
        <x:f>IF(J49="","不明",IF(J49&lt;='評価基準'!$B$6,"非常に軽い",IF(J49&lt;='評価基準'!$B$7,"軽い",IF(J49&lt;='評価基準'!$B$8,"中程度","重め"))))</x:f>
        <x:v>中程度</x:v>
      </x:c>
      <x:c r="R49" s="24" t="n">
        <x:f>IF(OR(I49="",J49=""),"",MAX(0,ROUND(100-I49*'評価基準'!$B$2-J49*'評価基準'!$B$3-MAX(0,H49-'評価基準'!$B$5)*'評価基準'!$B$4,1)))</x:f>
        <x:v>35.9</x:v>
      </x:c>
      <x:c r="S49" s="20" t="str">
        <x:v>https://www.we-online.com/en/components/products/em/switches/tact_switches/ws-tasu</x:v>
      </x:c>
      <x:c r="T49" s="20" t="str">
        <x:v>https://www.digikey.jp/ja/products?keywords=436333045822</x:v>
      </x:c>
      <x:c r="U49" s="25" t="str"/>
      <x:c r="V49" s="20" t="str">
        <x:v>メーカー公式</x:v>
      </x:c>
      <x:c r="W49" s="20" t="str">
        <x:v>低（通常ライトアングル）</x:v>
      </x:c>
    </x:row>
    <x:row r="50">
      <x:c r="A50" s="20" t="str">
        <x:v>E-Switch</x:v>
      </x:c>
      <x:c r="B50" s="20" t="str">
        <x:v>TL3340</x:v>
      </x:c>
      <x:c r="C50" s="21" t="str">
        <x:v>TL3340AF260QG</x:v>
      </x:c>
      <x:c r="D50" s="20" t="str">
        <x:v>共通構成</x:v>
      </x:c>
      <x:c r="E50" s="20" t="str">
        <x:v>横押し／ライトアングルSMT</x:v>
      </x:c>
      <x:c r="F50" s="22" t="n">
        <x:v>4.25</x:v>
      </x:c>
      <x:c r="G50" s="22" t="n">
        <x:v>3.3</x:v>
      </x:c>
      <x:c r="H50" s="22" t="n">
        <x:v>3.4</x:v>
      </x:c>
      <x:c r="I50" s="22" t="n">
        <x:f>IF(OR(F50="",G50=""),"",F50*G50)</x:f>
        <x:v>14.024999999999999</x:v>
      </x:c>
      <x:c r="J50" s="22" t="n">
        <x:v>2.55</x:v>
      </x:c>
      <x:c r="K50" s="22" t="n">
        <x:f>IF(J50="","",J50*101.971621)</x:f>
        <x:v>260.02763354999996</x:v>
      </x:c>
      <x:c r="L50" s="22" t="n">
        <x:v>0.2</x:v>
      </x:c>
      <x:c r="M50" s="23" t="n">
        <x:v>100000</x:v>
      </x:c>
      <x:c r="N50" s="20" t="str">
        <x:v>なし</x:v>
      </x:c>
      <x:c r="O50" s="20" t="str">
        <x:v>Aアクチュエータ・260gf</x:v>
      </x:c>
      <x:c r="P50" s="20" t="str">
        <x:f>IF(J50="","要確認",IF(AND(MAX(F50,G50)&lt;=5,J50&lt;='評価基準'!$B$7),"小型・軽め",IF(MAX(F50,G50)&lt;=5,"小型",IF(MAX(F50,G50)&lt;=6.5,"標準","大きめ参考"))))</x:f>
        <x:v>小型</x:v>
      </x:c>
      <x:c r="Q50" s="20" t="str">
        <x:f>IF(J50="","不明",IF(J50&lt;='評価基準'!$B$6,"非常に軽い",IF(J50&lt;='評価基準'!$B$7,"軽い",IF(J50&lt;='評価基準'!$B$8,"中程度","重め"))))</x:f>
        <x:v>重め</x:v>
      </x:c>
      <x:c r="R50" s="24" t="n">
        <x:f>IF(OR(I50="",J50=""),"",MAX(0,ROUND(100-I50*'評価基準'!$B$2-J50*'評価基準'!$B$3-MAX(0,H50-'評価基準'!$B$5)*'評価基準'!$B$4,1)))</x:f>
        <x:v>34</x:v>
      </x:c>
      <x:c r="S50" s="20" t="str">
        <x:v>https://www.e-switch.com/product/tl3340-series-subminiature-smt-right-angle-tactile-switch/</x:v>
      </x:c>
      <x:c r="T50" s="20" t="str">
        <x:v>https://www.digikey.jp/ja/products?keywords=TL3340AF260QG</x:v>
      </x:c>
      <x:c r="U50" s="25" t="str"/>
      <x:c r="V50" s="20" t="str">
        <x:v>メーカー公式</x:v>
      </x:c>
      <x:c r="W50" s="20" t="str">
        <x:v>低（通常ライトアングル）</x:v>
      </x:c>
    </x:row>
    <x:row r="51">
      <x:c r="A51" s="20" t="str">
        <x:v>Alps Alpine</x:v>
      </x:c>
      <x:c r="B51" s="20" t="str">
        <x:v>SKSN</x:v>
      </x:c>
      <x:c r="C51" s="21" t="str">
        <x:v>SKSNLME010</x:v>
      </x:c>
      <x:c r="D51" s="20" t="str">
        <x:v>標準品</x:v>
      </x:c>
      <x:c r="E51" s="20" t="str">
        <x:v>横押しSMD／ミッドマウント</x:v>
      </x:c>
      <x:c r="F51" s="22" t="n">
        <x:v>7.5</x:v>
      </x:c>
      <x:c r="G51" s="22" t="n">
        <x:v>3</x:v>
      </x:c>
      <x:c r="H51" s="22" t="n">
        <x:v>3.5</x:v>
      </x:c>
      <x:c r="I51" s="22" t="n">
        <x:f>IF(OR(F51="",G51=""),"",F51*G51)</x:f>
        <x:v>22.5</x:v>
      </x:c>
      <x:c r="J51" s="22" t="n">
        <x:v>1.6</x:v>
      </x:c>
      <x:c r="K51" s="22" t="n">
        <x:f>IF(J51="","",J51*101.971621)</x:f>
        <x:v>163.1545936</x:v>
      </x:c>
      <x:c r="L51" s="22" t="n">
        <x:v>0.15</x:v>
      </x:c>
      <x:c r="M51" s="23" t="n">
        <x:v>1000000</x:v>
      </x:c>
      <x:c r="N51" s="20" t="str">
        <x:v>なし</x:v>
      </x:c>
      <x:c r="O51" s="20" t="str">
        <x:v>長寿命</x:v>
      </x:c>
      <x:c r="P51" s="20" t="str">
        <x:f>IF(J51="","要確認",IF(AND(MAX(F51,G51)&lt;=5,J51&lt;='評価基準'!$B$7),"小型・軽め",IF(MAX(F51,G51)&lt;=5,"小型",IF(MAX(F51,G51)&lt;=6.5,"標準","大きめ参考"))))</x:f>
        <x:v>大きめ参考</x:v>
      </x:c>
      <x:c r="Q51" s="20" t="str">
        <x:f>IF(J51="","不明",IF(J51&lt;='評価基準'!$B$6,"非常に軽い",IF(J51&lt;='評価基準'!$B$7,"軽い",IF(J51&lt;='評価基準'!$B$8,"中程度","重め"))))</x:f>
        <x:v>軽い</x:v>
      </x:c>
      <x:c r="R51" s="24" t="n">
        <x:f>IF(OR(I51="",J51=""),"",MAX(0,ROUND(100-I51*'評価基準'!$B$2-J51*'評価基準'!$B$3-MAX(0,H51-'評価基準'!$B$5)*'評価基準'!$B$4,1)))</x:f>
        <x:v>33.9</x:v>
      </x:c>
      <x:c r="S51" s="20" t="str">
        <x:v>https://tech.alpsalpine.com/e/products/category/tact-switch/sub/02/series/sksn/</x:v>
      </x:c>
      <x:c r="T51" s="20" t="str">
        <x:v>https://www.digikey.jp/ja/products?keywords=SKSNLME010</x:v>
      </x:c>
      <x:c r="U51" s="25" t="str"/>
      <x:c r="V51" s="20" t="str">
        <x:v>メーカー公式</x:v>
      </x:c>
      <x:c r="W51" s="20" t="str">
        <x:v>高（ミッドマウント）</x:v>
      </x:c>
    </x:row>
    <x:row r="52">
      <x:c r="A52" s="20" t="str">
        <x:v>Panasonic Industry</x:v>
      </x:c>
      <x:c r="B52" s="20" t="str">
        <x:v>EVPAE</x:v>
      </x:c>
      <x:c r="C52" s="21" t="str">
        <x:v>EVPAEDB2A</x:v>
      </x:c>
      <x:c r="D52" s="20" t="str">
        <x:v>掲載中</x:v>
      </x:c>
      <x:c r="E52" s="20" t="str">
        <x:v>横押しSMD／エッジマウント</x:v>
      </x:c>
      <x:c r="F52" s="22" t="n">
        <x:v>4.5</x:v>
      </x:c>
      <x:c r="G52" s="22" t="n">
        <x:v>2.6</x:v>
      </x:c>
      <x:c r="H52" s="22" t="n">
        <x:v>2.9</x:v>
      </x:c>
      <x:c r="I52" s="22" t="n">
        <x:f>IF(OR(F52="",G52=""),"",F52*G52)</x:f>
        <x:v>11.700000000000001</x:v>
      </x:c>
      <x:c r="J52" s="22" t="n">
        <x:v>3</x:v>
      </x:c>
      <x:c r="K52" s="22" t="n">
        <x:f>IF(J52="","",J52*101.971621)</x:f>
        <x:v>305.91486299999997</x:v>
      </x:c>
      <x:c r="L52" s="22" t="n">
        <x:v>0.15</x:v>
      </x:c>
      <x:c r="M52" s="23" t="n">
        <x:v>200000</x:v>
      </x:c>
      <x:c r="N52" s="20" t="str">
        <x:v>なし</x:v>
      </x:c>
      <x:c r="O52" s="20" t="str">
        <x:v>Flat端子・接地端子あり・車載</x:v>
      </x:c>
      <x:c r="P52" s="20" t="str">
        <x:f>IF(J52="","要確認",IF(AND(MAX(F52,G52)&lt;=5,J52&lt;='評価基準'!$B$7),"小型・軽め",IF(MAX(F52,G52)&lt;=5,"小型",IF(MAX(F52,G52)&lt;=6.5,"標準","大きめ参考"))))</x:f>
        <x:v>小型</x:v>
      </x:c>
      <x:c r="Q52" s="20" t="str">
        <x:f>IF(J52="","不明",IF(J52&lt;='評価基準'!$B$6,"非常に軽い",IF(J52&lt;='評価基準'!$B$7,"軽い",IF(J52&lt;='評価基準'!$B$8,"中程度","重め"))))</x:f>
        <x:v>重め</x:v>
      </x:c>
      <x:c r="R52" s="24" t="n">
        <x:f>IF(OR(I52="",J52=""),"",MAX(0,ROUND(100-I52*'評価基準'!$B$2-J52*'評価基準'!$B$3-MAX(0,H52-'評価基準'!$B$5)*'評価基準'!$B$4,1)))</x:f>
        <x:v>30.9</x:v>
      </x:c>
      <x:c r="S52" s="20" t="str">
        <x:v>https://industry.panasonic.com/global/en/products/control/switch/light-touch/number/evpaedb2a</x:v>
      </x:c>
      <x:c r="T52" s="20" t="str">
        <x:v>https://www.digikey.jp/ja/products?keywords=EVPAEDB2A</x:v>
      </x:c>
      <x:c r="U52" s="25" t="str"/>
      <x:c r="V52" s="20" t="str">
        <x:v>メーカー公式</x:v>
      </x:c>
      <x:c r="W52" s="20" t="str">
        <x:v>高（エッジマウント）</x:v>
      </x:c>
    </x:row>
    <x:row r="53">
      <x:c r="A53" s="20" t="str">
        <x:v>Alps Alpine</x:v>
      </x:c>
      <x:c r="B53" s="20" t="str">
        <x:v>SKSN</x:v>
      </x:c>
      <x:c r="C53" s="21" t="str">
        <x:v>SKSNLAE010</x:v>
      </x:c>
      <x:c r="D53" s="20" t="str">
        <x:v>標準品</x:v>
      </x:c>
      <x:c r="E53" s="20" t="str">
        <x:v>横押しSMD／ミッドマウント</x:v>
      </x:c>
      <x:c r="F53" s="22" t="n">
        <x:v>6.2</x:v>
      </x:c>
      <x:c r="G53" s="22" t="n">
        <x:v>3</x:v>
      </x:c>
      <x:c r="H53" s="22" t="n">
        <x:v>3.5</x:v>
      </x:c>
      <x:c r="I53" s="22" t="n">
        <x:f>IF(OR(F53="",G53=""),"",F53*G53)</x:f>
        <x:v>18.6</x:v>
      </x:c>
      <x:c r="J53" s="22" t="n">
        <x:v>2.4</x:v>
      </x:c>
      <x:c r="K53" s="22" t="n">
        <x:f>IF(J53="","",J53*101.971621)</x:f>
        <x:v>244.7318904</x:v>
      </x:c>
      <x:c r="L53" s="22" t="n">
        <x:v>0.2</x:v>
      </x:c>
      <x:c r="M53" s="23" t="n">
        <x:v>500000</x:v>
      </x:c>
      <x:c r="N53" s="20" t="str">
        <x:v>なし</x:v>
      </x:c>
      <x:c r="O53" s="20" t="str">
        <x:v>2.4N</x:v>
      </x:c>
      <x:c r="P53" s="20" t="str">
        <x:f>IF(J53="","要確認",IF(AND(MAX(F53,G53)&lt;=5,J53&lt;='評価基準'!$B$7),"小型・軽め",IF(MAX(F53,G53)&lt;=5,"小型",IF(MAX(F53,G53)&lt;=6.5,"標準","大きめ参考"))))</x:f>
        <x:v>標準</x:v>
      </x:c>
      <x:c r="Q53" s="20" t="str">
        <x:f>IF(J53="","不明",IF(J53&lt;='評価基準'!$B$6,"非常に軽い",IF(J53&lt;='評価基準'!$B$7,"軽い",IF(J53&lt;='評価基準'!$B$8,"中程度","重め"))))</x:f>
        <x:v>重め</x:v>
      </x:c>
      <x:c r="R53" s="24" t="n">
        <x:f>IF(OR(I53="",J53=""),"",MAX(0,ROUND(100-I53*'評価基準'!$B$2-J53*'評価基準'!$B$3-MAX(0,H53-'評価基準'!$B$5)*'評価基準'!$B$4,1)))</x:f>
        <x:v>28.1</x:v>
      </x:c>
      <x:c r="S53" s="20" t="str">
        <x:v>https://tech.alpsalpine.com/e/products/category/tact-switch/sub/02/series/sksn/</x:v>
      </x:c>
      <x:c r="T53" s="20" t="str">
        <x:v>https://www.digikey.jp/ja/products?keywords=SKSNLAE010</x:v>
      </x:c>
      <x:c r="U53" s="25" t="str"/>
      <x:c r="V53" s="20" t="str">
        <x:v>メーカー公式</x:v>
      </x:c>
      <x:c r="W53" s="20" t="str">
        <x:v>高（ミッドマウント）</x:v>
      </x:c>
    </x:row>
    <x:row r="54">
      <x:c r="A54" s="20" t="str">
        <x:v>C&amp;K / Littelfuse</x:v>
      </x:c>
      <x:c r="B54" s="20" t="str">
        <x:v>KMS</x:v>
      </x:c>
      <x:c r="C54" s="21" t="str">
        <x:v>KMS231G LFS</x:v>
      </x:c>
      <x:c r="D54" s="20" t="str">
        <x:v>注文可</x:v>
      </x:c>
      <x:c r="E54" s="20" t="str">
        <x:v>横押しSMT／ガルウィング</x:v>
      </x:c>
      <x:c r="F54" s="22" t="n">
        <x:v>4.2</x:v>
      </x:c>
      <x:c r="G54" s="22" t="n">
        <x:v>3.55</x:v>
      </x:c>
      <x:c r="H54" s="22" t="n">
        <x:v>1.42</x:v>
      </x:c>
      <x:c r="I54" s="22" t="n">
        <x:f>IF(OR(F54="",G54=""),"",F54*G54)</x:f>
        <x:v>14.91</x:v>
      </x:c>
      <x:c r="J54" s="22" t="n">
        <x:v>2.9</x:v>
      </x:c>
      <x:c r="K54" s="22" t="n">
        <x:f>IF(J54="","",J54*101.971621)</x:f>
        <x:v>295.7177009</x:v>
      </x:c>
      <x:c r="L54" s="22" t="n">
        <x:v>0.3</x:v>
      </x:c>
      <x:c r="M54" s="23" t="n">
        <x:v>100000</x:v>
      </x:c>
      <x:c r="N54" s="20" t="str">
        <x:v>IP40</x:v>
      </x:c>
      <x:c r="O54" s="20" t="str">
        <x:v>銀接点・ボスなし</x:v>
      </x:c>
      <x:c r="P54" s="20" t="str">
        <x:f>IF(J54="","要確認",IF(AND(MAX(F54,G54)&lt;=5,J54&lt;='評価基準'!$B$7),"小型・軽め",IF(MAX(F54,G54)&lt;=5,"小型",IF(MAX(F54,G54)&lt;=6.5,"標準","大きめ参考"))))</x:f>
        <x:v>小型</x:v>
      </x:c>
      <x:c r="Q54" s="20" t="str">
        <x:f>IF(J54="","不明",IF(J54&lt;='評価基準'!$B$6,"非常に軽い",IF(J54&lt;='評価基準'!$B$7,"軽い",IF(J54&lt;='評価基準'!$B$8,"中程度","重め"))))</x:f>
        <x:v>重め</x:v>
      </x:c>
      <x:c r="R54" s="24" t="n">
        <x:f>IF(OR(I54="",J54=""),"",MAX(0,ROUND(100-I54*'評価基準'!$B$2-J54*'評価基準'!$B$3-MAX(0,H54-'評価基準'!$B$5)*'評価基準'!$B$4,1)))</x:f>
        <x:v>26.8</x:v>
      </x:c>
      <x:c r="S54" s="20" t="str">
        <x:v>https://www.ckswitches.com/media/1482/kms.pdf</x:v>
      </x:c>
      <x:c r="T54" s="20" t="str">
        <x:v>https://www.digikey.jp/ja/products?keywords=KMS231G%20LFS</x:v>
      </x:c>
      <x:c r="U54" s="25" t="str"/>
      <x:c r="V54" s="20" t="str">
        <x:v>メーカー公式</x:v>
      </x:c>
      <x:c r="W54" s="20" t="str">
        <x:v>低（通常ライトアングル）</x:v>
      </x:c>
    </x:row>
    <x:row r="55">
      <x:c r="A55" s="20" t="str">
        <x:v>C&amp;K / Littelfuse</x:v>
      </x:c>
      <x:c r="B55" s="20" t="str">
        <x:v>KMS</x:v>
      </x:c>
      <x:c r="C55" s="21" t="str">
        <x:v>KMS231GP LFS</x:v>
      </x:c>
      <x:c r="D55" s="20" t="str">
        <x:v>注文可</x:v>
      </x:c>
      <x:c r="E55" s="20" t="str">
        <x:v>横押しSMT／ガルウィング</x:v>
      </x:c>
      <x:c r="F55" s="22" t="n">
        <x:v>4.2</x:v>
      </x:c>
      <x:c r="G55" s="22" t="n">
        <x:v>3.55</x:v>
      </x:c>
      <x:c r="H55" s="22" t="n">
        <x:v>1.42</x:v>
      </x:c>
      <x:c r="I55" s="22" t="n">
        <x:f>IF(OR(F55="",G55=""),"",F55*G55)</x:f>
        <x:v>14.91</x:v>
      </x:c>
      <x:c r="J55" s="22" t="n">
        <x:v>2.9</x:v>
      </x:c>
      <x:c r="K55" s="22" t="n">
        <x:f>IF(J55="","",J55*101.971621)</x:f>
        <x:v>295.7177009</x:v>
      </x:c>
      <x:c r="L55" s="22" t="n">
        <x:v>0.3</x:v>
      </x:c>
      <x:c r="M55" s="23" t="n">
        <x:v>100000</x:v>
      </x:c>
      <x:c r="N55" s="20" t="str">
        <x:v>IP40</x:v>
      </x:c>
      <x:c r="O55" s="20" t="str">
        <x:v>銀接点・ボスあり</x:v>
      </x:c>
      <x:c r="P55" s="20" t="str">
        <x:f>IF(J55="","要確認",IF(AND(MAX(F55,G55)&lt;=5,J55&lt;='評価基準'!$B$7),"小型・軽め",IF(MAX(F55,G55)&lt;=5,"小型",IF(MAX(F55,G55)&lt;=6.5,"標準","大きめ参考"))))</x:f>
        <x:v>小型</x:v>
      </x:c>
      <x:c r="Q55" s="20" t="str">
        <x:f>IF(J55="","不明",IF(J55&lt;='評価基準'!$B$6,"非常に軽い",IF(J55&lt;='評価基準'!$B$7,"軽い",IF(J55&lt;='評価基準'!$B$8,"中程度","重め"))))</x:f>
        <x:v>重め</x:v>
      </x:c>
      <x:c r="R55" s="24" t="n">
        <x:f>IF(OR(I55="",J55=""),"",MAX(0,ROUND(100-I55*'評価基準'!$B$2-J55*'評価基準'!$B$3-MAX(0,H55-'評価基準'!$B$5)*'評価基準'!$B$4,1)))</x:f>
        <x:v>26.8</x:v>
      </x:c>
      <x:c r="S55" s="20" t="str">
        <x:v>https://www.ckswitches.com/media/1482/kms.pdf</x:v>
      </x:c>
      <x:c r="T55" s="20" t="str">
        <x:v>https://www.digikey.jp/ja/products?keywords=KMS231GP%20LFS</x:v>
      </x:c>
      <x:c r="U55" s="25" t="str"/>
      <x:c r="V55" s="20" t="str">
        <x:v>メーカー公式</x:v>
      </x:c>
      <x:c r="W55" s="20" t="str">
        <x:v>低（通常ライトアングル）</x:v>
      </x:c>
    </x:row>
    <x:row r="56">
      <x:c r="A56" s="20" t="str">
        <x:v>C&amp;K / Littelfuse</x:v>
      </x:c>
      <x:c r="B56" s="20" t="str">
        <x:v>KMS</x:v>
      </x:c>
      <x:c r="C56" s="21" t="str">
        <x:v>KMS233G LFG</x:v>
      </x:c>
      <x:c r="D56" s="20" t="str">
        <x:v>注文可</x:v>
      </x:c>
      <x:c r="E56" s="20" t="str">
        <x:v>横押しSMT／ガルウィング</x:v>
      </x:c>
      <x:c r="F56" s="22" t="n">
        <x:v>4.2</x:v>
      </x:c>
      <x:c r="G56" s="22" t="n">
        <x:v>3.55</x:v>
      </x:c>
      <x:c r="H56" s="22" t="n">
        <x:v>1.42</x:v>
      </x:c>
      <x:c r="I56" s="22" t="n">
        <x:f>IF(OR(F56="",G56=""),"",F56*G56)</x:f>
        <x:v>14.91</x:v>
      </x:c>
      <x:c r="J56" s="22" t="n">
        <x:v>2.9</x:v>
      </x:c>
      <x:c r="K56" s="22" t="n">
        <x:f>IF(J56="","",J56*101.971621)</x:f>
        <x:v>295.7177009</x:v>
      </x:c>
      <x:c r="L56" s="22" t="n">
        <x:v>0.3</x:v>
      </x:c>
      <x:c r="M56" s="23" t="n">
        <x:v>100000</x:v>
      </x:c>
      <x:c r="N56" s="20" t="str">
        <x:v>IP40</x:v>
      </x:c>
      <x:c r="O56" s="20" t="str">
        <x:v>金接点・ボスなし</x:v>
      </x:c>
      <x:c r="P56" s="20" t="str">
        <x:f>IF(J56="","要確認",IF(AND(MAX(F56,G56)&lt;=5,J56&lt;='評価基準'!$B$7),"小型・軽め",IF(MAX(F56,G56)&lt;=5,"小型",IF(MAX(F56,G56)&lt;=6.5,"標準","大きめ参考"))))</x:f>
        <x:v>小型</x:v>
      </x:c>
      <x:c r="Q56" s="20" t="str">
        <x:f>IF(J56="","不明",IF(J56&lt;='評価基準'!$B$6,"非常に軽い",IF(J56&lt;='評価基準'!$B$7,"軽い",IF(J56&lt;='評価基準'!$B$8,"中程度","重め"))))</x:f>
        <x:v>重め</x:v>
      </x:c>
      <x:c r="R56" s="24" t="n">
        <x:f>IF(OR(I56="",J56=""),"",MAX(0,ROUND(100-I56*'評価基準'!$B$2-J56*'評価基準'!$B$3-MAX(0,H56-'評価基準'!$B$5)*'評価基準'!$B$4,1)))</x:f>
        <x:v>26.8</x:v>
      </x:c>
      <x:c r="S56" s="20" t="str">
        <x:v>https://www.ckswitches.com/media/1482/kms.pdf</x:v>
      </x:c>
      <x:c r="T56" s="20" t="str">
        <x:v>https://www.digikey.jp/ja/products?keywords=KMS233G%20LFG</x:v>
      </x:c>
      <x:c r="U56" s="25" t="str"/>
      <x:c r="V56" s="20" t="str">
        <x:v>メーカー公式</x:v>
      </x:c>
      <x:c r="W56" s="20" t="str">
        <x:v>低（通常ライトアングル）</x:v>
      </x:c>
    </x:row>
    <x:row r="57">
      <x:c r="A57" s="20" t="str">
        <x:v>C&amp;K / Littelfuse</x:v>
      </x:c>
      <x:c r="B57" s="20" t="str">
        <x:v>KMS</x:v>
      </x:c>
      <x:c r="C57" s="21" t="str">
        <x:v>KMS233GP LFG</x:v>
      </x:c>
      <x:c r="D57" s="20" t="str">
        <x:v>注文可</x:v>
      </x:c>
      <x:c r="E57" s="20" t="str">
        <x:v>横押しSMT／ガルウィング</x:v>
      </x:c>
      <x:c r="F57" s="22" t="n">
        <x:v>4.2</x:v>
      </x:c>
      <x:c r="G57" s="22" t="n">
        <x:v>3.55</x:v>
      </x:c>
      <x:c r="H57" s="22" t="n">
        <x:v>1.42</x:v>
      </x:c>
      <x:c r="I57" s="22" t="n">
        <x:f>IF(OR(F57="",G57=""),"",F57*G57)</x:f>
        <x:v>14.91</x:v>
      </x:c>
      <x:c r="J57" s="22" t="n">
        <x:v>2.9</x:v>
      </x:c>
      <x:c r="K57" s="22" t="n">
        <x:f>IF(J57="","",J57*101.971621)</x:f>
        <x:v>295.7177009</x:v>
      </x:c>
      <x:c r="L57" s="22" t="n">
        <x:v>0.3</x:v>
      </x:c>
      <x:c r="M57" s="23" t="n">
        <x:v>100000</x:v>
      </x:c>
      <x:c r="N57" s="20" t="str">
        <x:v>IP40</x:v>
      </x:c>
      <x:c r="O57" s="20" t="str">
        <x:v>金接点・ボスあり</x:v>
      </x:c>
      <x:c r="P57" s="20" t="str">
        <x:f>IF(J57="","要確認",IF(AND(MAX(F57,G57)&lt;=5,J57&lt;='評価基準'!$B$7),"小型・軽め",IF(MAX(F57,G57)&lt;=5,"小型",IF(MAX(F57,G57)&lt;=6.5,"標準","大きめ参考"))))</x:f>
        <x:v>小型</x:v>
      </x:c>
      <x:c r="Q57" s="20" t="str">
        <x:f>IF(J57="","不明",IF(J57&lt;='評価基準'!$B$6,"非常に軽い",IF(J57&lt;='評価基準'!$B$7,"軽い",IF(J57&lt;='評価基準'!$B$8,"中程度","重め"))))</x:f>
        <x:v>重め</x:v>
      </x:c>
      <x:c r="R57" s="24" t="n">
        <x:f>IF(OR(I57="",J57=""),"",MAX(0,ROUND(100-I57*'評価基準'!$B$2-J57*'評価基準'!$B$3-MAX(0,H57-'評価基準'!$B$5)*'評価基準'!$B$4,1)))</x:f>
        <x:v>26.8</x:v>
      </x:c>
      <x:c r="S57" s="20" t="str">
        <x:v>https://www.ckswitches.com/media/1482/kms.pdf</x:v>
      </x:c>
      <x:c r="T57" s="20" t="str">
        <x:v>https://www.digikey.jp/ja/products?keywords=KMS233GP%20LFG</x:v>
      </x:c>
      <x:c r="U57" s="25" t="str"/>
      <x:c r="V57" s="20" t="str">
        <x:v>メーカー公式</x:v>
      </x:c>
      <x:c r="W57" s="20" t="str">
        <x:v>低（通常ライトアングル）</x:v>
      </x:c>
    </x:row>
    <x:row r="58">
      <x:c r="A58" s="20" t="str">
        <x:v>Panasonic Industry</x:v>
      </x:c>
      <x:c r="B58" s="20" t="str">
        <x:v>EVQPU</x:v>
      </x:c>
      <x:c r="C58" s="21" t="str">
        <x:v>EVQPUC02K</x:v>
      </x:c>
      <x:c r="D58" s="20" t="str">
        <x:v>掲載中</x:v>
      </x:c>
      <x:c r="E58" s="20" t="str">
        <x:v>横押しSMD／ストレート</x:v>
      </x:c>
      <x:c r="F58" s="22" t="n">
        <x:v>4.7</x:v>
      </x:c>
      <x:c r="G58" s="22" t="n">
        <x:v>4.5</x:v>
      </x:c>
      <x:c r="H58" s="22" t="n">
        <x:v>1.65</x:v>
      </x:c>
      <x:c r="I58" s="22" t="n">
        <x:f>IF(OR(F58="",G58=""),"",F58*G58)</x:f>
        <x:v>21.150000000000002</x:v>
      </x:c>
      <x:c r="J58" s="22" t="n">
        <x:v>2.2</x:v>
      </x:c>
      <x:c r="K58" s="22" t="n">
        <x:f>IF(J58="","",J58*101.971621)</x:f>
        <x:v>224.33756620000003</x:v>
      </x:c>
      <x:c r="L58" s="22" t="n">
        <x:v>0.3</x:v>
      </x:c>
      <x:c r="M58" s="23" t="n">
        <x:v>100000</x:v>
      </x:c>
      <x:c r="N58" s="20" t="str">
        <x:v>なし</x:v>
      </x:c>
      <x:c r="O58" s="20" t="str">
        <x:v>ボスあり</x:v>
      </x:c>
      <x:c r="P58" s="20" t="str">
        <x:f>IF(J58="","要確認",IF(AND(MAX(F58,G58)&lt;=5,J58&lt;='評価基準'!$B$7),"小型・軽め",IF(MAX(F58,G58)&lt;=5,"小型",IF(MAX(F58,G58)&lt;=6.5,"標準","大きめ参考"))))</x:f>
        <x:v>小型</x:v>
      </x:c>
      <x:c r="Q58" s="20" t="str">
        <x:f>IF(J58="","不明",IF(J58&lt;='評価基準'!$B$6,"非常に軽い",IF(J58&lt;='評価基準'!$B$7,"軽い",IF(J58&lt;='評価基準'!$B$8,"中程度","重め"))))</x:f>
        <x:v>中程度</x:v>
      </x:c>
      <x:c r="R58" s="24" t="n">
        <x:f>IF(OR(I58="",J58=""),"",MAX(0,ROUND(100-I58*'評価基準'!$B$2-J58*'評価基準'!$B$3-MAX(0,H58-'評価基準'!$B$5)*'評価基準'!$B$4,1)))</x:f>
        <x:v>26.7</x:v>
      </x:c>
      <x:c r="S58" s="20" t="str">
        <x:v>https://industry.panasonic.com/ap/en/products/control/switch/light-touch/number/evqpuc02k</x:v>
      </x:c>
      <x:c r="T58" s="20" t="str">
        <x:v>https://www.digikey.jp/ja/products?keywords=EVQPUC02K</x:v>
      </x:c>
      <x:c r="U58" s="25" t="str"/>
      <x:c r="V58" s="20" t="str">
        <x:v>メーカー公式</x:v>
      </x:c>
      <x:c r="W58" s="20" t="str">
        <x:v>中（取付方向を図面確認）</x:v>
      </x:c>
    </x:row>
    <x:row r="59">
      <x:c r="A59" s="20" t="str">
        <x:v>E-Switch</x:v>
      </x:c>
      <x:c r="B59" s="20" t="str">
        <x:v>TL3330</x:v>
      </x:c>
      <x:c r="C59" s="21" t="str">
        <x:v>TL3330AF260QG</x:v>
      </x:c>
      <x:c r="D59" s="20" t="str">
        <x:v>共通構成</x:v>
      </x:c>
      <x:c r="E59" s="20" t="str">
        <x:v>横押し／ライトアングルSMT</x:v>
      </x:c>
      <x:c r="F59" s="22" t="n">
        <x:v>7.8</x:v>
      </x:c>
      <x:c r="G59" s="22" t="n">
        <x:v>2.5</x:v>
      </x:c>
      <x:c r="H59" s="22" t="n">
        <x:v>3.5</x:v>
      </x:c>
      <x:c r="I59" s="22" t="n">
        <x:f>IF(OR(F59="",G59=""),"",F59*G59)</x:f>
        <x:v>19.5</x:v>
      </x:c>
      <x:c r="J59" s="22" t="n">
        <x:v>2.55</x:v>
      </x:c>
      <x:c r="K59" s="22" t="n">
        <x:f>IF(J59="","",J59*101.971621)</x:f>
        <x:v>260.02763354999996</x:v>
      </x:c>
      <x:c r="L59" s="22" t="n">
        <x:v>0.25</x:v>
      </x:c>
      <x:c r="M59" s="23" t="n">
        <x:v>30000</x:v>
      </x:c>
      <x:c r="N59" s="20" t="str">
        <x:v>なし</x:v>
      </x:c>
      <x:c r="O59" s="20" t="str">
        <x:v>260gf</x:v>
      </x:c>
      <x:c r="P59" s="20" t="str">
        <x:f>IF(J59="","要確認",IF(AND(MAX(F59,G59)&lt;=5,J59&lt;='評価基準'!$B$7),"小型・軽め",IF(MAX(F59,G59)&lt;=5,"小型",IF(MAX(F59,G59)&lt;=6.5,"標準","大きめ参考"))))</x:f>
        <x:v>大きめ参考</x:v>
      </x:c>
      <x:c r="Q59" s="20" t="str">
        <x:f>IF(J59="","不明",IF(J59&lt;='評価基準'!$B$6,"非常に軽い",IF(J59&lt;='評価基準'!$B$7,"軽い",IF(J59&lt;='評価基準'!$B$8,"中程度","重め"))))</x:f>
        <x:v>重め</x:v>
      </x:c>
      <x:c r="R59" s="24" t="n">
        <x:f>IF(OR(I59="",J59=""),"",MAX(0,ROUND(100-I59*'評価基準'!$B$2-J59*'評価基準'!$B$3-MAX(0,H59-'評価基準'!$B$5)*'評価基準'!$B$4,1)))</x:f>
        <x:v>24.1</x:v>
      </x:c>
      <x:c r="S59" s="20" t="str">
        <x:v>https://www.e-switch.com/product/tl3330-series-smt-right-angle-tactile-switch/</x:v>
      </x:c>
      <x:c r="T59" s="20" t="str">
        <x:v>https://www.digikey.jp/ja/products?keywords=TL3330AF260QG</x:v>
      </x:c>
      <x:c r="U59" s="25" t="str"/>
      <x:c r="V59" s="20" t="str">
        <x:v>メーカー公式</x:v>
      </x:c>
      <x:c r="W59" s="20" t="str">
        <x:v>低（通常ライトアングル）</x:v>
      </x:c>
    </x:row>
    <x:row r="60">
      <x:c r="A60" s="20" t="str">
        <x:v>Alps Alpine</x:v>
      </x:c>
      <x:c r="B60" s="20" t="str">
        <x:v>SKSL</x:v>
      </x:c>
      <x:c r="C60" s="21" t="str">
        <x:v>SKSLLCE010</x:v>
      </x:c>
      <x:c r="D60" s="20" t="str">
        <x:v>標準品</x:v>
      </x:c>
      <x:c r="E60" s="20" t="str">
        <x:v>横押しSMD／ハーフマウント</x:v>
      </x:c>
      <x:c r="F60" s="22" t="n">
        <x:v>4.5</x:v>
      </x:c>
      <x:c r="G60" s="22" t="n">
        <x:v>2.6</x:v>
      </x:c>
      <x:c r="H60" s="22" t="n">
        <x:v>2.2</x:v>
      </x:c>
      <x:c r="I60" s="22" t="n">
        <x:f>IF(OR(F60="",G60=""),"",F60*G60)</x:f>
        <x:v>11.700000000000001</x:v>
      </x:c>
      <x:c r="J60" s="22" t="n">
        <x:v>3.5</x:v>
      </x:c>
      <x:c r="K60" s="22" t="n">
        <x:f>IF(J60="","",J60*101.971621)</x:f>
        <x:v>356.9006735</x:v>
      </x:c>
      <x:c r="L60" s="22" t="n">
        <x:v>0.15</x:v>
      </x:c>
      <x:c r="M60" s="23" t="n">
        <x:v>100000</x:v>
      </x:c>
      <x:c r="N60" s="20" t="str">
        <x:v>なし</x:v>
      </x:c>
      <x:c r="O60" s="20" t="str">
        <x:v>3.5N・車載対応</x:v>
      </x:c>
      <x:c r="P60" s="20" t="str">
        <x:f>IF(J60="","要確認",IF(AND(MAX(F60,G60)&lt;=5,J60&lt;='評価基準'!$B$7),"小型・軽め",IF(MAX(F60,G60)&lt;=5,"小型",IF(MAX(F60,G60)&lt;=6.5,"標準","大きめ参考"))))</x:f>
        <x:v>小型</x:v>
      </x:c>
      <x:c r="Q60" s="20" t="str">
        <x:f>IF(J60="","不明",IF(J60&lt;='評価基準'!$B$6,"非常に軽い",IF(J60&lt;='評価基準'!$B$7,"軽い",IF(J60&lt;='評価基準'!$B$8,"中程度","重め"))))</x:f>
        <x:v>重め</x:v>
      </x:c>
      <x:c r="R60" s="24" t="n">
        <x:f>IF(OR(I60="",J60=""),"",MAX(0,ROUND(100-I60*'評価基準'!$B$2-J60*'評価基準'!$B$3-MAX(0,H60-'評価基準'!$B$5)*'評価基準'!$B$4,1)))</x:f>
        <x:v>22.9</x:v>
      </x:c>
      <x:c r="S60" s="20" t="str">
        <x:v>https://tech.alpsalpine.com/e/products/category/tact-switch/sub/02/series/sksl/</x:v>
      </x:c>
      <x:c r="T60" s="20" t="str">
        <x:v>https://www.digikey.jp/ja/products?keywords=SKSLLCE010</x:v>
      </x:c>
      <x:c r="U60" s="25" t="str"/>
      <x:c r="V60" s="20" t="str">
        <x:v>メーカー公式</x:v>
      </x:c>
      <x:c r="W60" s="20" t="str">
        <x:v>高（ハーフマウント）</x:v>
      </x:c>
    </x:row>
    <x:row r="61">
      <x:c r="A61" s="20" t="str">
        <x:v>Alps Alpine</x:v>
      </x:c>
      <x:c r="B61" s="20" t="str">
        <x:v>SKSN</x:v>
      </x:c>
      <x:c r="C61" s="21" t="str">
        <x:v>SKSNLPE010</x:v>
      </x:c>
      <x:c r="D61" s="20" t="str">
        <x:v>標準品</x:v>
      </x:c>
      <x:c r="E61" s="20" t="str">
        <x:v>横押しSMD／ミッドマウント</x:v>
      </x:c>
      <x:c r="F61" s="22" t="n">
        <x:v>7.5</x:v>
      </x:c>
      <x:c r="G61" s="22" t="n">
        <x:v>4.07</x:v>
      </x:c>
      <x:c r="H61" s="22" t="n">
        <x:v>3.5</x:v>
      </x:c>
      <x:c r="I61" s="22" t="n">
        <x:f>IF(OR(F61="",G61=""),"",F61*G61)</x:f>
        <x:v>30.525000000000002</x:v>
      </x:c>
      <x:c r="J61" s="22" t="n">
        <x:v>1.6</x:v>
      </x:c>
      <x:c r="K61" s="22" t="n">
        <x:f>IF(J61="","",J61*101.971621)</x:f>
        <x:v>163.1545936</x:v>
      </x:c>
      <x:c r="L61" s="22" t="n">
        <x:v>0.23</x:v>
      </x:c>
      <x:c r="M61" s="23" t="n">
        <x:v>1000000</x:v>
      </x:c>
      <x:c r="N61" s="20" t="str">
        <x:v>なし</x:v>
      </x:c>
      <x:c r="O61" s="20" t="str">
        <x:v>新型・長寿命</x:v>
      </x:c>
      <x:c r="P61" s="20" t="str">
        <x:f>IF(J61="","要確認",IF(AND(MAX(F61,G61)&lt;=5,J61&lt;='評価基準'!$B$7),"小型・軽め",IF(MAX(F61,G61)&lt;=5,"小型",IF(MAX(F61,G61)&lt;=6.5,"標準","大きめ参考"))))</x:f>
        <x:v>大きめ参考</x:v>
      </x:c>
      <x:c r="Q61" s="20" t="str">
        <x:f>IF(J61="","不明",IF(J61&lt;='評価基準'!$B$6,"非常に軽い",IF(J61&lt;='評価基準'!$B$7,"軽い",IF(J61&lt;='評価基準'!$B$8,"中程度","重め"))))</x:f>
        <x:v>軽い</x:v>
      </x:c>
      <x:c r="R61" s="24" t="n">
        <x:f>IF(OR(I61="",J61=""),"",MAX(0,ROUND(100-I61*'評価基準'!$B$2-J61*'評価基準'!$B$3-MAX(0,H61-'評価基準'!$B$5)*'評価基準'!$B$4,1)))</x:f>
        <x:v>19.5</x:v>
      </x:c>
      <x:c r="S61" s="20" t="str">
        <x:v>https://tech.alpsalpine.com/e/products/category/tact-switch/sub/02/series/sksn/</x:v>
      </x:c>
      <x:c r="T61" s="20" t="str">
        <x:v>https://www.digikey.jp/ja/products?keywords=SKSNLPE010</x:v>
      </x:c>
      <x:c r="U61" s="25" t="str"/>
      <x:c r="V61" s="20" t="str">
        <x:v>メーカー公式</x:v>
      </x:c>
      <x:c r="W61" s="20" t="str">
        <x:v>高（ミッドマウント）</x:v>
      </x:c>
    </x:row>
    <x:row r="62">
      <x:c r="A62" s="20" t="str">
        <x:v>Panasonic Industry</x:v>
      </x:c>
      <x:c r="B62" s="20" t="str">
        <x:v>EVQP4</x:v>
      </x:c>
      <x:c r="C62" s="21" t="str">
        <x:v>EVQP4KB3Q</x:v>
      </x:c>
      <x:c r="D62" s="20" t="str">
        <x:v>掲載中</x:v>
      </x:c>
      <x:c r="E62" s="20" t="str">
        <x:v>横押しSMD／エッジマウント</x:v>
      </x:c>
      <x:c r="F62" s="22" t="n">
        <x:v>6.2</x:v>
      </x:c>
      <x:c r="G62" s="22" t="n">
        <x:v>3.4</x:v>
      </x:c>
      <x:c r="H62" s="22" t="n">
        <x:v>3.5</x:v>
      </x:c>
      <x:c r="I62" s="22" t="n">
        <x:f>IF(OR(F62="",G62=""),"",F62*G62)</x:f>
        <x:v>21.08</x:v>
      </x:c>
      <x:c r="J62" s="22" t="n">
        <x:v>3.5</x:v>
      </x:c>
      <x:c r="K62" s="22" t="n">
        <x:f>IF(J62="","",J62*101.971621)</x:f>
        <x:v>356.9006735</x:v>
      </x:c>
      <x:c r="L62" s="22" t="n">
        <x:v>0.7</x:v>
      </x:c>
      <x:c r="M62" s="23" t="n">
        <x:v>500000</x:v>
      </x:c>
      <x:c r="N62" s="20" t="str">
        <x:v>なし</x:v>
      </x:c>
      <x:c r="O62" s="20" t="str">
        <x:v>車載・Flat端子</x:v>
      </x:c>
      <x:c r="P62" s="20" t="str">
        <x:f>IF(J62="","要確認",IF(AND(MAX(F62,G62)&lt;=5,J62&lt;='評価基準'!$B$7),"小型・軽め",IF(MAX(F62,G62)&lt;=5,"小型",IF(MAX(F62,G62)&lt;=6.5,"標準","大きめ参考"))))</x:f>
        <x:v>標準</x:v>
      </x:c>
      <x:c r="Q62" s="20" t="str">
        <x:f>IF(J62="","不明",IF(J62&lt;='評価基準'!$B$6,"非常に軽い",IF(J62&lt;='評価基準'!$B$7,"軽い",IF(J62&lt;='評価基準'!$B$8,"中程度","重め"))))</x:f>
        <x:v>重め</x:v>
      </x:c>
      <x:c r="R62" s="24" t="n">
        <x:f>IF(OR(I62="",J62=""),"",MAX(0,ROUND(100-I62*'評価基準'!$B$2-J62*'評価基準'!$B$3-MAX(0,H62-'評価基準'!$B$5)*'評価基準'!$B$4,1)))</x:f>
        <x:v>6.1</x:v>
      </x:c>
      <x:c r="S62" s="20" t="str">
        <x:v>https://industry.panasonic.com/global/en/products/control/switch/light-touch/number/evqp4kb3q</x:v>
      </x:c>
      <x:c r="T62" s="20" t="str">
        <x:v>https://www.digikey.jp/ja/products?keywords=EVQP4KB3Q</x:v>
      </x:c>
      <x:c r="U62" s="25" t="str">
        <x:v>重いが長ストローク。</x:v>
      </x:c>
      <x:c r="V62" s="20" t="str">
        <x:v>メーカー公式</x:v>
      </x:c>
      <x:c r="W62" s="20" t="str">
        <x:v>高（エッジマウント）</x:v>
      </x:c>
    </x:row>
    <x:row r="63">
      <x:c r="A63" s="20" t="str">
        <x:v>E-Switch</x:v>
      </x:c>
      <x:c r="B63" s="20" t="str">
        <x:v>TL3360</x:v>
      </x:c>
      <x:c r="C63" s="21" t="str">
        <x:v>TL3360AF185Q</x:v>
      </x:c>
      <x:c r="D63" s="20" t="str">
        <x:v>在庫掲載</x:v>
      </x:c>
      <x:c r="E63" s="20" t="str">
        <x:v>横押し／ライトアングルSMT</x:v>
      </x:c>
      <x:c r="F63" s="22" t="n">
        <x:v>6.5</x:v>
      </x:c>
      <x:c r="G63" s="22" t="n">
        <x:v>6.5</x:v>
      </x:c>
      <x:c r="H63" s="22" t="n">
        <x:v>2.3</x:v>
      </x:c>
      <x:c r="I63" s="22" t="n">
        <x:f>IF(OR(F63="",G63=""),"",F63*G63)</x:f>
        <x:v>42.25</x:v>
      </x:c>
      <x:c r="J63" s="22" t="n">
        <x:v>1.814</x:v>
      </x:c>
      <x:c r="K63" s="22" t="n">
        <x:f>IF(J63="","",J63*101.971621)</x:f>
        <x:v>184.976520494</x:v>
      </x:c>
      <x:c r="L63" s="22" t="n">
        <x:v>0.15</x:v>
      </x:c>
      <x:c r="M63" s="23" t="n">
        <x:v>200000</x:v>
      </x:c>
      <x:c r="N63" s="20" t="str">
        <x:v>なし</x:v>
      </x:c>
      <x:c r="O63" s="20" t="str">
        <x:v>Aアクチュエータ・185gf</x:v>
      </x:c>
      <x:c r="P63" s="20" t="str">
        <x:f>IF(J63="","要確認",IF(AND(MAX(F63,G63)&lt;=5,J63&lt;='評価基準'!$B$7),"小型・軽め",IF(MAX(F63,G63)&lt;=5,"小型",IF(MAX(F63,G63)&lt;=6.5,"標準","大きめ参考"))))</x:f>
        <x:v>標準</x:v>
      </x:c>
      <x:c r="Q63" s="20" t="str">
        <x:f>IF(J63="","不明",IF(J63&lt;='評価基準'!$B$6,"非常に軽い",IF(J63&lt;='評価基準'!$B$7,"軽い",IF(J63&lt;='評価基準'!$B$8,"中程度","重め"))))</x:f>
        <x:v>中程度</x:v>
      </x:c>
      <x:c r="R63" s="24" t="n">
        <x:f>IF(OR(I63="",J63=""),"",MAX(0,ROUND(100-I63*'評価基準'!$B$2-J63*'評価基準'!$B$3-MAX(0,H63-'評価基準'!$B$5)*'評価基準'!$B$4,1)))</x:f>
        <x:v>0</x:v>
      </x:c>
      <x:c r="S63" s="20" t="str">
        <x:v>https://www.e-switch.com/product/tl3360-series-smt-right-angle-tactile-switch/</x:v>
      </x:c>
      <x:c r="T63" s="20" t="str">
        <x:v>https://www.digikey.jp/ja/products?keywords=TL3360AF185Q</x:v>
      </x:c>
      <x:c r="U63" s="25" t="str">
        <x:v>サイズは大きめの比較用。</x:v>
      </x:c>
      <x:c r="V63" s="20" t="str">
        <x:v>メーカー公式</x:v>
      </x:c>
      <x:c r="W63" s="20" t="str">
        <x:v>低（通常ライトアングル）</x:v>
      </x:c>
    </x:row>
    <x:row r="64">
      <x:c r="A64" s="20" t="str">
        <x:v>E-Switch</x:v>
      </x:c>
      <x:c r="B64" s="20" t="str">
        <x:v>TL3360</x:v>
      </x:c>
      <x:c r="C64" s="21" t="str">
        <x:v>TL3360BF185Q</x:v>
      </x:c>
      <x:c r="D64" s="20" t="str">
        <x:v>共通構成</x:v>
      </x:c>
      <x:c r="E64" s="20" t="str">
        <x:v>横押し／ライトアングルSMT</x:v>
      </x:c>
      <x:c r="F64" s="22" t="n">
        <x:v>6.5</x:v>
      </x:c>
      <x:c r="G64" s="22" t="n">
        <x:v>6.5</x:v>
      </x:c>
      <x:c r="H64" s="22"/>
      <x:c r="I64" s="22" t="n">
        <x:f>IF(OR(F64="",G64=""),"",F64*G64)</x:f>
        <x:v>42.25</x:v>
      </x:c>
      <x:c r="J64" s="22" t="n">
        <x:v>1.814</x:v>
      </x:c>
      <x:c r="K64" s="22" t="n">
        <x:f>IF(J64="","",J64*101.971621)</x:f>
        <x:v>184.976520494</x:v>
      </x:c>
      <x:c r="L64" s="22" t="n">
        <x:v>0.15</x:v>
      </x:c>
      <x:c r="M64" s="23" t="n">
        <x:v>200000</x:v>
      </x:c>
      <x:c r="N64" s="20" t="str">
        <x:v>なし</x:v>
      </x:c>
      <x:c r="O64" s="20" t="str">
        <x:v>Bアクチュエータ・185gf</x:v>
      </x:c>
      <x:c r="P64" s="20" t="str">
        <x:f>IF(J64="","要確認",IF(AND(MAX(F64,G64)&lt;=5,J64&lt;='評価基準'!$B$7),"小型・軽め",IF(MAX(F64,G64)&lt;=5,"小型",IF(MAX(F64,G64)&lt;=6.5,"標準","大きめ参考"))))</x:f>
        <x:v>標準</x:v>
      </x:c>
      <x:c r="Q64" s="20" t="str">
        <x:f>IF(J64="","不明",IF(J64&lt;='評価基準'!$B$6,"非常に軽い",IF(J64&lt;='評価基準'!$B$7,"軽い",IF(J64&lt;='評価基準'!$B$8,"中程度","重め"))))</x:f>
        <x:v>中程度</x:v>
      </x:c>
      <x:c r="R64" s="24" t="n">
        <x:f>IF(OR(I64="",J64=""),"",MAX(0,ROUND(100-I64*'評価基準'!$B$2-J64*'評価基準'!$B$3-MAX(0,H64-'評価基準'!$B$5)*'評価基準'!$B$4,1)))</x:f>
        <x:v>0</x:v>
      </x:c>
      <x:c r="S64" s="20" t="str">
        <x:v>https://www.e-switch.com/product/tl3360-series-smt-right-angle-tactile-switch/</x:v>
      </x:c>
      <x:c r="T64" s="20" t="str">
        <x:v>https://www.digikey.jp/ja/products?keywords=TL3360BF185Q</x:v>
      </x:c>
      <x:c r="U64" s="25" t="str"/>
      <x:c r="V64" s="20" t="str">
        <x:v>メーカー公式</x:v>
      </x:c>
      <x:c r="W64" s="20" t="str">
        <x:v>低（通常ライトアングル）</x:v>
      </x:c>
    </x:row>
    <x:row r="65">
      <x:c r="A65" s="20" t="str">
        <x:v>E-Switch</x:v>
      </x:c>
      <x:c r="B65" s="20" t="str">
        <x:v>TL3360</x:v>
      </x:c>
      <x:c r="C65" s="21" t="str">
        <x:v>TL3360DF185Q</x:v>
      </x:c>
      <x:c r="D65" s="20" t="str">
        <x:v>共通構成</x:v>
      </x:c>
      <x:c r="E65" s="20" t="str">
        <x:v>横押し／ライトアングルSMT</x:v>
      </x:c>
      <x:c r="F65" s="22" t="n">
        <x:v>6.5</x:v>
      </x:c>
      <x:c r="G65" s="22" t="n">
        <x:v>6.5</x:v>
      </x:c>
      <x:c r="H65" s="22"/>
      <x:c r="I65" s="22" t="n">
        <x:f>IF(OR(F65="",G65=""),"",F65*G65)</x:f>
        <x:v>42.25</x:v>
      </x:c>
      <x:c r="J65" s="22" t="n">
        <x:v>1.814</x:v>
      </x:c>
      <x:c r="K65" s="22" t="n">
        <x:f>IF(J65="","",J65*101.971621)</x:f>
        <x:v>184.976520494</x:v>
      </x:c>
      <x:c r="L65" s="22" t="n">
        <x:v>0.15</x:v>
      </x:c>
      <x:c r="M65" s="23" t="n">
        <x:v>200000</x:v>
      </x:c>
      <x:c r="N65" s="20" t="str">
        <x:v>なし</x:v>
      </x:c>
      <x:c r="O65" s="20" t="str">
        <x:v>Dアクチュエータ・185gf</x:v>
      </x:c>
      <x:c r="P65" s="20" t="str">
        <x:f>IF(J65="","要確認",IF(AND(MAX(F65,G65)&lt;=5,J65&lt;='評価基準'!$B$7),"小型・軽め",IF(MAX(F65,G65)&lt;=5,"小型",IF(MAX(F65,G65)&lt;=6.5,"標準","大きめ参考"))))</x:f>
        <x:v>標準</x:v>
      </x:c>
      <x:c r="Q65" s="20" t="str">
        <x:f>IF(J65="","不明",IF(J65&lt;='評価基準'!$B$6,"非常に軽い",IF(J65&lt;='評価基準'!$B$7,"軽い",IF(J65&lt;='評価基準'!$B$8,"中程度","重め"))))</x:f>
        <x:v>中程度</x:v>
      </x:c>
      <x:c r="R65" s="24" t="n">
        <x:f>IF(OR(I65="",J65=""),"",MAX(0,ROUND(100-I65*'評価基準'!$B$2-J65*'評価基準'!$B$3-MAX(0,H65-'評価基準'!$B$5)*'評価基準'!$B$4,1)))</x:f>
        <x:v>0</x:v>
      </x:c>
      <x:c r="S65" s="20" t="str">
        <x:v>https://www.e-switch.com/product/tl3360-series-smt-right-angle-tactile-switch/</x:v>
      </x:c>
      <x:c r="T65" s="20" t="str">
        <x:v>https://www.digikey.jp/ja/products?keywords=TL3360DF185Q</x:v>
      </x:c>
      <x:c r="U65" s="25" t="str"/>
      <x:c r="V65" s="20" t="str">
        <x:v>メーカー公式</x:v>
      </x:c>
      <x:c r="W65" s="20" t="str">
        <x:v>低（通常ライトアングル）</x:v>
      </x:c>
    </x:row>
    <x:row r="66">
      <x:c r="A66" s="20" t="str">
        <x:v>Alps Alpine</x:v>
      </x:c>
      <x:c r="B66" s="20" t="str">
        <x:v>SKSN</x:v>
      </x:c>
      <x:c r="C66" s="21" t="str">
        <x:v>SKSNLKE010</x:v>
      </x:c>
      <x:c r="D66" s="20" t="str">
        <x:v>標準品</x:v>
      </x:c>
      <x:c r="E66" s="20" t="str">
        <x:v>横押しSMD／ミッドマウント</x:v>
      </x:c>
      <x:c r="F66" s="22" t="n">
        <x:v>6.2</x:v>
      </x:c>
      <x:c r="G66" s="22" t="n">
        <x:v>3</x:v>
      </x:c>
      <x:c r="H66" s="22" t="n">
        <x:v>3.5</x:v>
      </x:c>
      <x:c r="I66" s="22" t="n">
        <x:f>IF(OR(F66="",G66=""),"",F66*G66)</x:f>
        <x:v>18.6</x:v>
      </x:c>
      <x:c r="J66" s="22" t="n">
        <x:v>4.5</x:v>
      </x:c>
      <x:c r="K66" s="22" t="n">
        <x:f>IF(J66="","",J66*101.971621)</x:f>
        <x:v>458.8722945</x:v>
      </x:c>
      <x:c r="L66" s="22" t="n">
        <x:v>0.2</x:v>
      </x:c>
      <x:c r="M66" s="23" t="n">
        <x:v>100000</x:v>
      </x:c>
      <x:c r="N66" s="20" t="str">
        <x:v>なし</x:v>
      </x:c>
      <x:c r="O66" s="20" t="str">
        <x:v>4.5N・車載</x:v>
      </x:c>
      <x:c r="P66" s="20" t="str">
        <x:f>IF(J66="","要確認",IF(AND(MAX(F66,G66)&lt;=5,J66&lt;='評価基準'!$B$7),"小型・軽め",IF(MAX(F66,G66)&lt;=5,"小型",IF(MAX(F66,G66)&lt;=6.5,"標準","大きめ参考"))))</x:f>
        <x:v>標準</x:v>
      </x:c>
      <x:c r="Q66" s="20" t="str">
        <x:f>IF(J66="","不明",IF(J66&lt;='評価基準'!$B$6,"非常に軽い",IF(J66&lt;='評価基準'!$B$7,"軽い",IF(J66&lt;='評価基準'!$B$8,"中程度","重め"))))</x:f>
        <x:v>重め</x:v>
      </x:c>
      <x:c r="R66" s="24" t="n">
        <x:f>IF(OR(I66="",J66=""),"",MAX(0,ROUND(100-I66*'評価基準'!$B$2-J66*'評価基準'!$B$3-MAX(0,H66-'評価基準'!$B$5)*'評価基準'!$B$4,1)))</x:f>
        <x:v>0</x:v>
      </x:c>
      <x:c r="S66" s="20" t="str">
        <x:v>https://tech.alpsalpine.com/e/products/category/tact-switch/sub/02/series/sksn/</x:v>
      </x:c>
      <x:c r="T66" s="20" t="str">
        <x:v>https://www.digikey.jp/ja/products?keywords=SKSNLKE010</x:v>
      </x:c>
      <x:c r="U66" s="25" t="str"/>
      <x:c r="V66" s="20" t="str">
        <x:v>メーカー公式</x:v>
      </x:c>
      <x:c r="W66" s="20" t="str">
        <x:v>高（ミッドマウント）</x:v>
      </x:c>
    </x:row>
    <x:row r="67">
      <x:c r="A67" s="20" t="str">
        <x:v>E-Switch</x:v>
      </x:c>
      <x:c r="B67" s="20" t="str">
        <x:v>TL3360</x:v>
      </x:c>
      <x:c r="C67" s="21" t="str">
        <x:v>TL3360CF185Q</x:v>
      </x:c>
      <x:c r="D67" s="20" t="str">
        <x:v>共通構成</x:v>
      </x:c>
      <x:c r="E67" s="20" t="str">
        <x:v>横押し／ライトアングルSMT</x:v>
      </x:c>
      <x:c r="F67" s="22" t="n">
        <x:v>6.5</x:v>
      </x:c>
      <x:c r="G67" s="22" t="n">
        <x:v>6.5</x:v>
      </x:c>
      <x:c r="H67" s="22" t="n">
        <x:v>4</x:v>
      </x:c>
      <x:c r="I67" s="22" t="n">
        <x:f>IF(OR(F67="",G67=""),"",F67*G67)</x:f>
        <x:v>42.25</x:v>
      </x:c>
      <x:c r="J67" s="22" t="n">
        <x:v>1.814</x:v>
      </x:c>
      <x:c r="K67" s="22" t="n">
        <x:f>IF(J67="","",J67*101.971621)</x:f>
        <x:v>184.976520494</x:v>
      </x:c>
      <x:c r="L67" s="22" t="n">
        <x:v>0.15</x:v>
      </x:c>
      <x:c r="M67" s="23" t="n">
        <x:v>200000</x:v>
      </x:c>
      <x:c r="N67" s="20" t="str">
        <x:v>なし</x:v>
      </x:c>
      <x:c r="O67" s="20" t="str">
        <x:v>Cアクチュエータ・185gf</x:v>
      </x:c>
      <x:c r="P67" s="20" t="str">
        <x:f>IF(J67="","要確認",IF(AND(MAX(F67,G67)&lt;=5,J67&lt;='評価基準'!$B$7),"小型・軽め",IF(MAX(F67,G67)&lt;=5,"小型",IF(MAX(F67,G67)&lt;=6.5,"標準","大きめ参考"))))</x:f>
        <x:v>標準</x:v>
      </x:c>
      <x:c r="Q67" s="20" t="str">
        <x:f>IF(J67="","不明",IF(J67&lt;='評価基準'!$B$6,"非常に軽い",IF(J67&lt;='評価基準'!$B$7,"軽い",IF(J67&lt;='評価基準'!$B$8,"中程度","重め"))))</x:f>
        <x:v>中程度</x:v>
      </x:c>
      <x:c r="R67" s="24" t="n">
        <x:f>IF(OR(I67="",J67=""),"",MAX(0,ROUND(100-I67*'評価基準'!$B$2-J67*'評価基準'!$B$3-MAX(0,H67-'評価基準'!$B$5)*'評価基準'!$B$4,1)))</x:f>
        <x:v>0</x:v>
      </x:c>
      <x:c r="S67" s="20" t="str">
        <x:v>https://www.e-switch.com/product/tl3360-series-smt-right-angle-tactile-switch/</x:v>
      </x:c>
      <x:c r="T67" s="20" t="str">
        <x:v>https://www.digikey.jp/ja/products?keywords=TL3360CF185Q</x:v>
      </x:c>
      <x:c r="U67" s="25" t="str"/>
      <x:c r="V67" s="20" t="str">
        <x:v>メーカー公式</x:v>
      </x:c>
      <x:c r="W67" s="20" t="str">
        <x:v>低（通常ライトアングル）</x:v>
      </x:c>
    </x:row>
    <x:row r="68">
      <x:c r="A68" s="20" t="str">
        <x:v>Alps Alpine</x:v>
      </x:c>
      <x:c r="B68" s="20" t="str">
        <x:v>SKSN</x:v>
      </x:c>
      <x:c r="C68" s="21" t="str">
        <x:v>SKSNLHE010</x:v>
      </x:c>
      <x:c r="D68" s="20" t="str">
        <x:v>標準品</x:v>
      </x:c>
      <x:c r="E68" s="20" t="str">
        <x:v>横押しSMD／ミッドマウント</x:v>
      </x:c>
      <x:c r="F68" s="22" t="n">
        <x:v>6.2</x:v>
      </x:c>
      <x:c r="G68" s="22" t="n">
        <x:v>3</x:v>
      </x:c>
      <x:c r="H68" s="22" t="n">
        <x:v>3.5</x:v>
      </x:c>
      <x:c r="I68" s="22" t="n">
        <x:f>IF(OR(F68="",G68=""),"",F68*G68)</x:f>
        <x:v>18.6</x:v>
      </x:c>
      <x:c r="J68" s="22" t="n">
        <x:v>5</x:v>
      </x:c>
      <x:c r="K68" s="22" t="n">
        <x:f>IF(J68="","",J68*101.971621)</x:f>
        <x:v>509.858105</x:v>
      </x:c>
      <x:c r="L68" s="22" t="n">
        <x:v>0.2</x:v>
      </x:c>
      <x:c r="M68" s="23" t="n">
        <x:v>100000</x:v>
      </x:c>
      <x:c r="N68" s="20" t="str">
        <x:v>なし</x:v>
      </x:c>
      <x:c r="O68" s="20" t="str">
        <x:v>5.0N・車載</x:v>
      </x:c>
      <x:c r="P68" s="20" t="str">
        <x:f>IF(J68="","要確認",IF(AND(MAX(F68,G68)&lt;=5,J68&lt;='評価基準'!$B$7),"小型・軽め",IF(MAX(F68,G68)&lt;=5,"小型",IF(MAX(F68,G68)&lt;=6.5,"標準","大きめ参考"))))</x:f>
        <x:v>標準</x:v>
      </x:c>
      <x:c r="Q68" s="20" t="str">
        <x:f>IF(J68="","不明",IF(J68&lt;='評価基準'!$B$6,"非常に軽い",IF(J68&lt;='評価基準'!$B$7,"軽い",IF(J68&lt;='評価基準'!$B$8,"中程度","重め"))))</x:f>
        <x:v>重め</x:v>
      </x:c>
      <x:c r="R68" s="24" t="n">
        <x:f>IF(OR(I68="",J68=""),"",MAX(0,ROUND(100-I68*'評価基準'!$B$2-J68*'評価基準'!$B$3-MAX(0,H68-'評価基準'!$B$5)*'評価基準'!$B$4,1)))</x:f>
        <x:v>0</x:v>
      </x:c>
      <x:c r="S68" s="20" t="str">
        <x:v>https://tech.alpsalpine.com/e/products/category/tact-switch/sub/02/series/sksn/</x:v>
      </x:c>
      <x:c r="T68" s="20" t="str">
        <x:v>https://www.digikey.jp/ja/products?keywords=SKSNLHE010</x:v>
      </x:c>
      <x:c r="U68" s="25" t="str"/>
      <x:c r="V68" s="20" t="str">
        <x:v>メーカー公式</x:v>
      </x:c>
      <x:c r="W68" s="20" t="str">
        <x:v>高（ミッドマウント）</x:v>
      </x:c>
    </x:row>
    <x:row r="69">
      <x:c r="A69" s="20" t="str">
        <x:v>E-Switch</x:v>
      </x:c>
      <x:c r="B69" s="20" t="str">
        <x:v>TL3336</x:v>
      </x:c>
      <x:c r="C69" s="21" t="str">
        <x:v>TL3336AF160Q</x:v>
      </x:c>
      <x:c r="D69" s="20" t="str">
        <x:v>在庫掲載</x:v>
      </x:c>
      <x:c r="E69" s="20" t="str">
        <x:v>横押し／ライトアングルSMT</x:v>
      </x:c>
      <x:c r="F69" s="22" t="n">
        <x:v>7</x:v>
      </x:c>
      <x:c r="G69" s="22" t="n">
        <x:v>7.1</x:v>
      </x:c>
      <x:c r="H69" s="22"/>
      <x:c r="I69" s="22" t="n">
        <x:f>IF(OR(F69="",G69=""),"",F69*G69)</x:f>
        <x:v>49.699999999999996</x:v>
      </x:c>
      <x:c r="J69" s="22" t="n">
        <x:v>1.569</x:v>
      </x:c>
      <x:c r="K69" s="22" t="n">
        <x:f>IF(J69="","",J69*101.971621)</x:f>
        <x:v>159.993473349</x:v>
      </x:c>
      <x:c r="L69" s="22" t="n">
        <x:v>0.35</x:v>
      </x:c>
      <x:c r="M69" s="23" t="n">
        <x:v>100000</x:v>
      </x:c>
      <x:c r="N69" s="20" t="str">
        <x:v>IP67</x:v>
      </x:c>
      <x:c r="O69" s="20" t="str">
        <x:v>160gf</x:v>
      </x:c>
      <x:c r="P69" s="20" t="str">
        <x:f>IF(J69="","要確認",IF(AND(MAX(F69,G69)&lt;=5,J69&lt;='評価基準'!$B$7),"小型・軽め",IF(MAX(F69,G69)&lt;=5,"小型",IF(MAX(F69,G69)&lt;=6.5,"標準","大きめ参考"))))</x:f>
        <x:v>大きめ参考</x:v>
      </x:c>
      <x:c r="Q69" s="20" t="str">
        <x:f>IF(J69="","不明",IF(J69&lt;='評価基準'!$B$6,"非常に軽い",IF(J69&lt;='評価基準'!$B$7,"軽い",IF(J69&lt;='評価基準'!$B$8,"中程度","重め"))))</x:f>
        <x:v>軽い</x:v>
      </x:c>
      <x:c r="R69" s="24" t="n">
        <x:f>IF(OR(I69="",J69=""),"",MAX(0,ROUND(100-I69*'評価基準'!$B$2-J69*'評価基準'!$B$3-MAX(0,H69-'評価基準'!$B$5)*'評価基準'!$B$4,1)))</x:f>
        <x:v>0</x:v>
      </x:c>
      <x:c r="S69" s="20" t="str">
        <x:v>https://www.e-switch.com/product/tl3336-series-sealed-smt-right-angle-tactile-switch/</x:v>
      </x:c>
      <x:c r="T69" s="20" t="str">
        <x:v>https://www.digikey.jp/ja/products?keywords=TL3336AF160Q</x:v>
      </x:c>
      <x:c r="U69" s="25" t="str">
        <x:v>防水だが大きめ。</x:v>
      </x:c>
      <x:c r="V69" s="20" t="str">
        <x:v>メーカー公式</x:v>
      </x:c>
      <x:c r="W69" s="20" t="str">
        <x:v>低（通常ライトアングル）</x:v>
      </x:c>
    </x:row>
    <x:row r="70">
      <x:c r="A70" s="20" t="str">
        <x:v>E-Switch</x:v>
      </x:c>
      <x:c r="B70" s="20" t="str">
        <x:v>TL3360</x:v>
      </x:c>
      <x:c r="C70" s="21" t="str">
        <x:v>TL3360AF260Q</x:v>
      </x:c>
      <x:c r="D70" s="20" t="str">
        <x:v>共通構成</x:v>
      </x:c>
      <x:c r="E70" s="20" t="str">
        <x:v>横押し／ライトアングルSMT</x:v>
      </x:c>
      <x:c r="F70" s="22" t="n">
        <x:v>6.5</x:v>
      </x:c>
      <x:c r="G70" s="22" t="n">
        <x:v>6.5</x:v>
      </x:c>
      <x:c r="H70" s="22" t="n">
        <x:v>2.3</x:v>
      </x:c>
      <x:c r="I70" s="22" t="n">
        <x:f>IF(OR(F70="",G70=""),"",F70*G70)</x:f>
        <x:v>42.25</x:v>
      </x:c>
      <x:c r="J70" s="22" t="n">
        <x:v>2.55</x:v>
      </x:c>
      <x:c r="K70" s="22" t="n">
        <x:f>IF(J70="","",J70*101.971621)</x:f>
        <x:v>260.02763354999996</x:v>
      </x:c>
      <x:c r="L70" s="22" t="n">
        <x:v>0.15</x:v>
      </x:c>
      <x:c r="M70" s="23" t="n">
        <x:v>200000</x:v>
      </x:c>
      <x:c r="N70" s="20" t="str">
        <x:v>なし</x:v>
      </x:c>
      <x:c r="O70" s="20" t="str">
        <x:v>Aアクチュエータ・260gf</x:v>
      </x:c>
      <x:c r="P70" s="20" t="str">
        <x:f>IF(J70="","要確認",IF(AND(MAX(F70,G70)&lt;=5,J70&lt;='評価基準'!$B$7),"小型・軽め",IF(MAX(F70,G70)&lt;=5,"小型",IF(MAX(F70,G70)&lt;=6.5,"標準","大きめ参考"))))</x:f>
        <x:v>標準</x:v>
      </x:c>
      <x:c r="Q70" s="20" t="str">
        <x:f>IF(J70="","不明",IF(J70&lt;='評価基準'!$B$6,"非常に軽い",IF(J70&lt;='評価基準'!$B$7,"軽い",IF(J70&lt;='評価基準'!$B$8,"中程度","重め"))))</x:f>
        <x:v>重め</x:v>
      </x:c>
      <x:c r="R70" s="24" t="n">
        <x:f>IF(OR(I70="",J70=""),"",MAX(0,ROUND(100-I70*'評価基準'!$B$2-J70*'評価基準'!$B$3-MAX(0,H70-'評価基準'!$B$5)*'評価基準'!$B$4,1)))</x:f>
        <x:v>0</x:v>
      </x:c>
      <x:c r="S70" s="20" t="str">
        <x:v>https://www.e-switch.com/product/tl3360-series-smt-right-angle-tactile-switch/</x:v>
      </x:c>
      <x:c r="T70" s="20" t="str">
        <x:v>https://www.digikey.jp/ja/products?keywords=TL3360AF260Q</x:v>
      </x:c>
      <x:c r="U70" s="25" t="str"/>
      <x:c r="V70" s="20" t="str">
        <x:v>メーカー公式</x:v>
      </x:c>
      <x:c r="W70" s="20" t="str">
        <x:v>低（通常ライトアングル）</x:v>
      </x:c>
    </x:row>
    <x:row r="71">
      <x:c r="A71" s="20" t="str">
        <x:v>Panasonic Industry</x:v>
      </x:c>
      <x:c r="B71" s="20" t="str">
        <x:v>EVQP4</x:v>
      </x:c>
      <x:c r="C71" s="21" t="str">
        <x:v>EVQP4MB3K</x:v>
      </x:c>
      <x:c r="D71" s="20" t="str">
        <x:v>掲載中</x:v>
      </x:c>
      <x:c r="E71" s="20" t="str">
        <x:v>横押しSMD／エッジマウント</x:v>
      </x:c>
      <x:c r="F71" s="22" t="n">
        <x:v>6.2</x:v>
      </x:c>
      <x:c r="G71" s="22" t="n">
        <x:v>3.4</x:v>
      </x:c>
      <x:c r="H71" s="22" t="n">
        <x:v>3.5</x:v>
      </x:c>
      <x:c r="I71" s="22" t="n">
        <x:f>IF(OR(F71="",G71=""),"",F71*G71)</x:f>
        <x:v>21.08</x:v>
      </x:c>
      <x:c r="J71" s="22" t="n">
        <x:v>5</x:v>
      </x:c>
      <x:c r="K71" s="22" t="n">
        <x:f>IF(J71="","",J71*101.971621)</x:f>
        <x:v>509.858105</x:v>
      </x:c>
      <x:c r="L71" s="22" t="n">
        <x:v>0.7</x:v>
      </x:c>
      <x:c r="M71" s="23" t="n">
        <x:v>200000</x:v>
      </x:c>
      <x:c r="N71" s="20" t="str">
        <x:v>なし</x:v>
      </x:c>
      <x:c r="O71" s="20" t="str">
        <x:v>車載・Flat端子</x:v>
      </x:c>
      <x:c r="P71" s="20" t="str">
        <x:f>IF(J71="","要確認",IF(AND(MAX(F71,G71)&lt;=5,J71&lt;='評価基準'!$B$7),"小型・軽め",IF(MAX(F71,G71)&lt;=5,"小型",IF(MAX(F71,G71)&lt;=6.5,"標準","大きめ参考"))))</x:f>
        <x:v>標準</x:v>
      </x:c>
      <x:c r="Q71" s="20" t="str">
        <x:f>IF(J71="","不明",IF(J71&lt;='評価基準'!$B$6,"非常に軽い",IF(J71&lt;='評価基準'!$B$7,"軽い",IF(J71&lt;='評価基準'!$B$8,"中程度","重め"))))</x:f>
        <x:v>重め</x:v>
      </x:c>
      <x:c r="R71" s="24" t="n">
        <x:f>IF(OR(I71="",J71=""),"",MAX(0,ROUND(100-I71*'評価基準'!$B$2-J71*'評価基準'!$B$3-MAX(0,H71-'評価基準'!$B$5)*'評価基準'!$B$4,1)))</x:f>
        <x:v>0</x:v>
      </x:c>
      <x:c r="S71" s="20" t="str">
        <x:v>https://industry.panasonic.com/ap/en/products/control/switch/light-touch/number/evqp4mb3k</x:v>
      </x:c>
      <x:c r="T71" s="20" t="str">
        <x:v>https://www.digikey.jp/ja/products?keywords=EVQP4MB3K</x:v>
      </x:c>
      <x:c r="U71" s="25" t="str">
        <x:v>かなり重い比較用。</x:v>
      </x:c>
      <x:c r="V71" s="20" t="str">
        <x:v>メーカー公式</x:v>
      </x:c>
      <x:c r="W71" s="20" t="str">
        <x:v>高（エッジマウント）</x:v>
      </x:c>
    </x:row>
    <x:row r="72">
      <x:c r="A72" s="20" t="str">
        <x:v>E-Switch</x:v>
      </x:c>
      <x:c r="B72" s="20" t="str">
        <x:v>TL3336</x:v>
      </x:c>
      <x:c r="C72" s="21" t="str">
        <x:v>TL3336AF260Q</x:v>
      </x:c>
      <x:c r="D72" s="20" t="str">
        <x:v>共通構成</x:v>
      </x:c>
      <x:c r="E72" s="20" t="str">
        <x:v>横押し／ライトアングルSMT</x:v>
      </x:c>
      <x:c r="F72" s="22" t="n">
        <x:v>7</x:v>
      </x:c>
      <x:c r="G72" s="22" t="n">
        <x:v>7.1</x:v>
      </x:c>
      <x:c r="H72" s="22"/>
      <x:c r="I72" s="22" t="n">
        <x:f>IF(OR(F72="",G72=""),"",F72*G72)</x:f>
        <x:v>49.699999999999996</x:v>
      </x:c>
      <x:c r="J72" s="22" t="n">
        <x:v>2.55</x:v>
      </x:c>
      <x:c r="K72" s="22" t="n">
        <x:f>IF(J72="","",J72*101.971621)</x:f>
        <x:v>260.02763354999996</x:v>
      </x:c>
      <x:c r="L72" s="22" t="n">
        <x:v>0.35</x:v>
      </x:c>
      <x:c r="M72" s="23" t="n">
        <x:v>100000</x:v>
      </x:c>
      <x:c r="N72" s="20" t="str">
        <x:v>IP67</x:v>
      </x:c>
      <x:c r="O72" s="20" t="str">
        <x:v>260gf</x:v>
      </x:c>
      <x:c r="P72" s="20" t="str">
        <x:f>IF(J72="","要確認",IF(AND(MAX(F72,G72)&lt;=5,J72&lt;='評価基準'!$B$7),"小型・軽め",IF(MAX(F72,G72)&lt;=5,"小型",IF(MAX(F72,G72)&lt;=6.5,"標準","大きめ参考"))))</x:f>
        <x:v>大きめ参考</x:v>
      </x:c>
      <x:c r="Q72" s="20" t="str">
        <x:f>IF(J72="","不明",IF(J72&lt;='評価基準'!$B$6,"非常に軽い",IF(J72&lt;='評価基準'!$B$7,"軽い",IF(J72&lt;='評価基準'!$B$8,"中程度","重め"))))</x:f>
        <x:v>重め</x:v>
      </x:c>
      <x:c r="R72" s="24" t="n">
        <x:f>IF(OR(I72="",J72=""),"",MAX(0,ROUND(100-I72*'評価基準'!$B$2-J72*'評価基準'!$B$3-MAX(0,H72-'評価基準'!$B$5)*'評価基準'!$B$4,1)))</x:f>
        <x:v>0</x:v>
      </x:c>
      <x:c r="S72" s="20" t="str">
        <x:v>https://www.e-switch.com/product/tl3336-series-sealed-smt-right-angle-tactile-switch/</x:v>
      </x:c>
      <x:c r="T72" s="20" t="str">
        <x:v>https://www.digikey.jp/ja/products?keywords=TL3336AF260Q</x:v>
      </x:c>
      <x:c r="U72" s="25" t="str"/>
      <x:c r="V72" s="20" t="str">
        <x:v>メーカー公式</x:v>
      </x:c>
      <x:c r="W72" s="20" t="str">
        <x:v>低（通常ライトアングル）</x:v>
      </x:c>
    </x:row>
    <x:row r="73">
      <x:c r="A73" s="20" t="str">
        <x:v>E-Switch</x:v>
      </x:c>
      <x:c r="B73" s="20" t="str">
        <x:v>TL3336</x:v>
      </x:c>
      <x:c r="C73" s="21" t="str">
        <x:v>TL3336AF320Q</x:v>
      </x:c>
      <x:c r="D73" s="20" t="str">
        <x:v>共通構成</x:v>
      </x:c>
      <x:c r="E73" s="20" t="str">
        <x:v>横押し／ライトアングルSMT</x:v>
      </x:c>
      <x:c r="F73" s="22" t="n">
        <x:v>7</x:v>
      </x:c>
      <x:c r="G73" s="22" t="n">
        <x:v>7.1</x:v>
      </x:c>
      <x:c r="H73" s="22"/>
      <x:c r="I73" s="22" t="n">
        <x:f>IF(OR(F73="",G73=""),"",F73*G73)</x:f>
        <x:v>49.699999999999996</x:v>
      </x:c>
      <x:c r="J73" s="22" t="n">
        <x:v>3.138</x:v>
      </x:c>
      <x:c r="K73" s="22" t="n">
        <x:f>IF(J73="","",J73*101.971621)</x:f>
        <x:v>319.986946698</x:v>
      </x:c>
      <x:c r="L73" s="22" t="n">
        <x:v>0.35</x:v>
      </x:c>
      <x:c r="M73" s="23" t="n">
        <x:v>100000</x:v>
      </x:c>
      <x:c r="N73" s="20" t="str">
        <x:v>IP67</x:v>
      </x:c>
      <x:c r="O73" s="20" t="str">
        <x:v>320gf</x:v>
      </x:c>
      <x:c r="P73" s="20" t="str">
        <x:f>IF(J73="","要確認",IF(AND(MAX(F73,G73)&lt;=5,J73&lt;='評価基準'!$B$7),"小型・軽め",IF(MAX(F73,G73)&lt;=5,"小型",IF(MAX(F73,G73)&lt;=6.5,"標準","大きめ参考"))))</x:f>
        <x:v>大きめ参考</x:v>
      </x:c>
      <x:c r="Q73" s="20" t="str">
        <x:f>IF(J73="","不明",IF(J73&lt;='評価基準'!$B$6,"非常に軽い",IF(J73&lt;='評価基準'!$B$7,"軽い",IF(J73&lt;='評価基準'!$B$8,"中程度","重め"))))</x:f>
        <x:v>重め</x:v>
      </x:c>
      <x:c r="R73" s="24" t="n">
        <x:f>IF(OR(I73="",J73=""),"",MAX(0,ROUND(100-I73*'評価基準'!$B$2-J73*'評価基準'!$B$3-MAX(0,H73-'評価基準'!$B$5)*'評価基準'!$B$4,1)))</x:f>
        <x:v>0</x:v>
      </x:c>
      <x:c r="S73" s="20" t="str">
        <x:v>https://www.e-switch.com/product/tl3336-series-sealed-smt-right-angle-tactile-switch/</x:v>
      </x:c>
      <x:c r="T73" s="20" t="str">
        <x:v>https://www.digikey.jp/ja/products?keywords=TL3336AF320Q</x:v>
      </x:c>
      <x:c r="U73" s="25" t="str"/>
      <x:c r="V73" s="20" t="str">
        <x:v>メーカー公式</x:v>
      </x:c>
      <x:c r="W73" s="20" t="str">
        <x:v>低（通常ライトアングル）</x:v>
      </x:c>
    </x:row>
    <x:row r="74">
      <x:c r="A74" s="20" t="str">
        <x:v>AliExpress汎用品</x:v>
      </x:c>
      <x:c r="B74" s="20" t="str">
        <x:v>TS-1246VW</x:v>
      </x:c>
      <x:c r="C74" s="21" t="str">
        <x:v>TS-1246VW</x:v>
      </x:c>
      <x:c r="D74" s="20" t="str">
        <x:v>通販掲載</x:v>
      </x:c>
      <x:c r="E74" s="20" t="str">
        <x:v>横押しSMD／基板端</x:v>
      </x:c>
      <x:c r="F74" s="22" t="n">
        <x:v>6.2</x:v>
      </x:c>
      <x:c r="G74" s="22" t="n">
        <x:v>3.5</x:v>
      </x:c>
      <x:c r="H74" s="22" t="n">
        <x:v>3.5</x:v>
      </x:c>
      <x:c r="I74" s="22" t="n">
        <x:f>IF(OR(F74="",G74=""),"",F74*G74)</x:f>
        <x:v>21.7</x:v>
      </x:c>
      <x:c r="J74" s="22"/>
      <x:c r="K74" s="22" t="str">
        <x:f>IF(J74="","",J74*101.971621)</x:f>
      </x:c>
      <x:c r="L74" s="22"/>
      <x:c r="M74" s="23"/>
      <x:c r="N74" s="20" t="str">
        <x:v>不明</x:v>
      </x:c>
      <x:c r="O74" s="20" t="str">
        <x:v>添付写真の基準品</x:v>
      </x:c>
      <x:c r="P74" s="20" t="str">
        <x:f>IF(J74="","要確認",IF(AND(MAX(F74,G74)&lt;=5,J74&lt;='評価基準'!$B$7),"小型・軽め",IF(MAX(F74,G74)&lt;=5,"小型",IF(MAX(F74,G74)&lt;=6.5,"標準","大きめ参考"))))</x:f>
        <x:v>要確認</x:v>
      </x:c>
      <x:c r="Q74" s="20" t="str">
        <x:f>IF(J74="","不明",IF(J74&lt;='評価基準'!$B$6,"非常に軽い",IF(J74&lt;='評価基準'!$B$7,"軽い",IF(J74&lt;='評価基準'!$B$8,"中程度","重め"))))</x:f>
        <x:v>不明</x:v>
      </x:c>
      <x:c r="R74" s="24" t="str">
        <x:f>IF(OR(I74="",J74=""),"",MAX(0,ROUND(100-I74*'評価基準'!$B$2-J74*'評価基準'!$B$3-MAX(0,H74-'評価基準'!$B$5)*'評価基準'!$B$4,1)))</x:f>
      </x:c>
      <x:c r="S74" s="20" t="str">
        <x:v>https://ja.aliexpress.com/item/1005007303304017.html</x:v>
      </x:c>
      <x:c r="T74" s="20" t="str">
        <x:v>https://ja.aliexpress.com/item/1005007303304017.html</x:v>
      </x:c>
      <x:c r="U74" s="25" t="str">
        <x:v>画像表記 3.5×6.2×3.5。押下圧は販売ページ／実測で要確認。</x:v>
      </x:c>
      <x:c r="V74" s="20" t="str">
        <x:v>ユーザー添付画像</x:v>
      </x:c>
      <x:c r="W74" s="20" t="str">
        <x:v>高（画像判断・要図面確認）</x:v>
      </x:c>
    </x:row>
    <x:row r="75">
      <x:c r="A75" s="20" t="str">
        <x:v>AliExpress汎用品</x:v>
      </x:c>
      <x:c r="B75" s="20" t="str">
        <x:v>SW101系</x:v>
      </x:c>
      <x:c r="C75" s="21" t="str">
        <x:v>商品ID 1005012595826990</x:v>
      </x:c>
      <x:c r="D75" s="20" t="str">
        <x:v>通販掲載</x:v>
      </x:c>
      <x:c r="E75" s="20" t="str">
        <x:v>横押しSMD／基板端</x:v>
      </x:c>
      <x:c r="F75" s="22" t="n">
        <x:v>4.75</x:v>
      </x:c>
      <x:c r="G75" s="22" t="n">
        <x:v>3.5</x:v>
      </x:c>
      <x:c r="H75" s="22" t="n">
        <x:v>3.05</x:v>
      </x:c>
      <x:c r="I75" s="22" t="n">
        <x:f>IF(OR(F75="",G75=""),"",F75*G75)</x:f>
        <x:v>16.625</x:v>
      </x:c>
      <x:c r="J75" s="22"/>
      <x:c r="K75" s="22" t="str">
        <x:f>IF(J75="","",J75*101.971621)</x:f>
      </x:c>
      <x:c r="L75" s="22"/>
      <x:c r="M75" s="23"/>
      <x:c r="N75" s="20" t="str">
        <x:v>不明</x:v>
      </x:c>
      <x:c r="O75" s="20" t="str">
        <x:v>添付寸法図の基準品</x:v>
      </x:c>
      <x:c r="P75" s="20" t="str">
        <x:f>IF(J75="","要確認",IF(AND(MAX(F75,G75)&lt;=5,J75&lt;='評価基準'!$B$7),"小型・軽め",IF(MAX(F75,G75)&lt;=5,"小型",IF(MAX(F75,G75)&lt;=6.5,"標準","大きめ参考"))))</x:f>
        <x:v>要確認</x:v>
      </x:c>
      <x:c r="Q75" s="20" t="str">
        <x:f>IF(J75="","不明",IF(J75&lt;='評価基準'!$B$6,"非常に軽い",IF(J75&lt;='評価基準'!$B$7,"軽い",IF(J75&lt;='評価基準'!$B$8,"中程度","重め"))))</x:f>
        <x:v>不明</x:v>
      </x:c>
      <x:c r="R75" s="24" t="str">
        <x:f>IF(OR(I75="",J75=""),"",MAX(0,ROUND(100-I75*'評価基準'!$B$2-J75*'評価基準'!$B$3-MAX(0,H75-'評価基準'!$B$5)*'評価基準'!$B$4,1)))</x:f>
      </x:c>
      <x:c r="S75" s="20" t="str">
        <x:v>https://ja.aliexpress.com/item/1005012595826990.html</x:v>
      </x:c>
      <x:c r="T75" s="20" t="str">
        <x:v>https://ja.aliexpress.com/item/1005012595826990.html</x:v>
      </x:c>
      <x:c r="U75" s="25" t="str">
        <x:v>寸法図から読める概略値。発注前に選択肢ごとの図面確認が必要。</x:v>
      </x:c>
      <x:c r="V75" s="20" t="str">
        <x:v>ユーザー添付寸法図（概略）</x:v>
      </x:c>
      <x:c r="W75" s="20" t="str">
        <x:v>高（画像判断・要図面確認）</x:v>
      </x:c>
    </x:row>
  </x:sheetData>
  <x:conditionalFormatting sqref="R2:R7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75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b8a37c48b445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</x:cols>
  <x:sheetData>
    <x:row r="1">
      <x:c r="A1" s="3" t="str">
        <x:v>評価パラメータ</x:v>
      </x:c>
      <x:c r="B1" s="4" t="str">
        <x:v>値</x:v>
      </x:c>
    </x:row>
    <x:row r="2">
      <x:c r="A2" s="5" t="str">
        <x:v>面積ペナルティ係数</x:v>
      </x:c>
      <x:c r="B2" s="9" t="n">
        <x:v>1.8</x:v>
      </x:c>
    </x:row>
    <x:row r="3">
      <x:c r="A3" s="5" t="str">
        <x:v>押下圧ペナルティ係数</x:v>
      </x:c>
      <x:c r="B3" s="9" t="n">
        <x:v>16</x:v>
      </x:c>
    </x:row>
    <x:row r="4">
      <x:c r="A4" s="5" t="str">
        <x:v>高さ超過ペナルティ係数</x:v>
      </x:c>
      <x:c r="B4" s="9" t="n">
        <x:v>4</x:v>
      </x:c>
    </x:row>
    <x:row r="5">
      <x:c r="A5" s="5" t="str">
        <x:v>高さ基準 (mm)</x:v>
      </x:c>
      <x:c r="B5" s="9" t="n">
        <x:v>3.5</x:v>
      </x:c>
    </x:row>
    <x:row r="6">
      <x:c r="A6" s="5" t="str">
        <x:v>非常に軽い上限 (N)</x:v>
      </x:c>
      <x:c r="B6" s="9" t="n">
        <x:v>1</x:v>
      </x:c>
    </x:row>
    <x:row r="7">
      <x:c r="A7" s="5" t="str">
        <x:v>軽い上限 (N)</x:v>
      </x:c>
      <x:c r="B7" s="9" t="n">
        <x:v>1.6</x:v>
      </x:c>
    </x:row>
    <x:row r="8">
      <x:c r="A8" s="5" t="str">
        <x:v>中程度上限 (N)</x:v>
      </x:c>
      <x:c r="B8" s="9" t="n">
        <x:v>2.2</x:v>
      </x:c>
    </x:row>
    <x:row r="9">
      <x:c r="A9" s="5"/>
      <x:c r="B9" s="6"/>
    </x:row>
    <x:row r="10">
      <x:c r="A10" s="5" t="str">
        <x:v>スコア式</x:v>
      </x:c>
      <x:c r="B10" s="6" t="str">
        <x:v>100 − 面積×係数 − 押下圧×係数 − 高さ超過×係数</x:v>
      </x:c>
    </x:row>
    <x:row r="11">
      <x:c r="A11" s="5" t="str">
        <x:v>注意1</x:v>
      </x:c>
      <x:c r="B11" s="6" t="str">
        <x:v>スコアは比較用。軸高さ、押し子形状、ランド強度、在庫を別途確認。</x:v>
      </x:c>
    </x:row>
    <x:row r="12">
      <x:c r="A12" s="5" t="str">
        <x:v>注意2</x:v>
      </x:c>
      <x:c r="B12" s="6" t="str">
        <x:v>gfからNへの換算は 1 gf = 0.00980665 N。</x:v>
      </x:c>
    </x:row>
    <x:row r="13">
      <x:c r="A13" s="7" t="str">
        <x:v>調査日</x:v>
      </x:c>
      <x:c r="B13" s="8" t="str">
        <x:v>2026-07-18</x:v>
      </x:c>
    </x:row>
  </x:sheetData>
  <x:pageMargins left="0.7" right="0.7" top="0.75" bottom="0.75" header="0.3" footer="0.3"/>
</x:worksheet>
</file>